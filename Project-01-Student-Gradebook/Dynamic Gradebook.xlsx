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vi\Documents\"/>
    </mc:Choice>
  </mc:AlternateContent>
  <xr:revisionPtr revIDLastSave="0" documentId="8_{38613F3A-DAB3-4A13-9874-10050C38A1AA}" xr6:coauthVersionLast="47" xr6:coauthVersionMax="47" xr10:uidLastSave="{00000000-0000-0000-0000-000000000000}"/>
  <bookViews>
    <workbookView xWindow="-120" yWindow="-120" windowWidth="29040" windowHeight="15720" xr2:uid="{843C576A-5BD1-40B0-BE17-A01711CE2510}"/>
  </bookViews>
  <sheets>
    <sheet name="Homework ==&gt;&gt;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6" i="1"/>
  <c r="M7" i="1"/>
  <c r="M8" i="1"/>
  <c r="M9" i="1"/>
  <c r="M14" i="1" s="1"/>
  <c r="M10" i="1"/>
  <c r="N6" i="1" s="1" a="1"/>
  <c r="M11" i="1"/>
  <c r="M12" i="1"/>
  <c r="M13" i="1"/>
  <c r="C14" i="1"/>
  <c r="D14" i="1"/>
  <c r="E14" i="1"/>
  <c r="F14" i="1"/>
  <c r="G14" i="1"/>
  <c r="H14" i="1"/>
  <c r="I14" i="1"/>
  <c r="J14" i="1"/>
  <c r="K14" i="1"/>
  <c r="L14" i="1"/>
  <c r="N6" i="1" l="1"/>
  <c r="N14" i="1" s="1"/>
  <c r="O6" i="1" a="1"/>
  <c r="O6" i="1" s="1"/>
  <c r="O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<sst xmlns="http://schemas.openxmlformats.org/spreadsheetml/2006/main" count="28" uniqueCount="24">
  <si>
    <t>Average</t>
  </si>
  <si>
    <t>Dean</t>
  </si>
  <si>
    <t>Lin</t>
  </si>
  <si>
    <t>Kenny</t>
  </si>
  <si>
    <t>Shinnay</t>
  </si>
  <si>
    <t>Miki</t>
  </si>
  <si>
    <t>Gigi</t>
  </si>
  <si>
    <t>Timmy</t>
  </si>
  <si>
    <t>Mohamed</t>
  </si>
  <si>
    <t>Decimal Grade</t>
  </si>
  <si>
    <t>%Grade</t>
  </si>
  <si>
    <t>Total</t>
  </si>
  <si>
    <t xml:space="preserve">Final </t>
  </si>
  <si>
    <t>Test 7</t>
  </si>
  <si>
    <t>Test 6</t>
  </si>
  <si>
    <t>Midterm</t>
  </si>
  <si>
    <t>Test 5</t>
  </si>
  <si>
    <t>Test 4</t>
  </si>
  <si>
    <t>Test 3</t>
  </si>
  <si>
    <t>Test 2</t>
  </si>
  <si>
    <t>Test 1</t>
  </si>
  <si>
    <t>Student Name</t>
  </si>
  <si>
    <t>Max Points</t>
  </si>
  <si>
    <t>Extra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</si>
</sst>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0DEA-77F2-44F6-8572-606DDACE27C3}">
  <sheetPr>
    <tabColor theme="1"/>
  </sheetPr>
  <dimension ref="B2:R42"/>
  <sheetViews>
    <sheetView tabSelected="1" workbookViewId="0">
      <selection activeCell="W11" sqref="W11"/>
    </sheetView>
  </sheetViews>
  <sheetFormatPr defaultRowHeight="15" x14ac:dyDescent="0.25"/>
  <cols>
    <col min="2" max="2" width="13.85546875" bestFit="1" customWidth="1"/>
    <col min="14" max="14" width="11.28515625" bestFit="1" customWidth="1"/>
    <col min="15" max="15" width="14" bestFit="1" customWidth="1"/>
    <col min="16" max="16" width="4.28515625" customWidth="1"/>
    <col min="18" max="18" width="14" bestFit="1" customWidth="1"/>
  </cols>
  <sheetData>
    <row r="2" spans="2:18" x14ac:dyDescent="0.25">
      <c r="M2" s="3" t="s">
        <v>11</v>
      </c>
      <c r="N2" s="3" t="s">
        <v>23</v>
      </c>
    </row>
    <row r="3" spans="2:18" x14ac:dyDescent="0.25">
      <c r="B3" s="3" t="s">
        <v>22</v>
      </c>
      <c r="C3" s="1">
        <v>50</v>
      </c>
      <c r="D3" s="1">
        <v>50</v>
      </c>
      <c r="E3" s="1">
        <v>50</v>
      </c>
      <c r="F3" s="1">
        <v>50</v>
      </c>
      <c r="G3" s="1">
        <v>50</v>
      </c>
      <c r="H3" s="1">
        <v>50</v>
      </c>
      <c r="I3" s="1">
        <v>100</v>
      </c>
      <c r="J3" s="1">
        <v>75</v>
      </c>
      <c r="K3" s="1">
        <v>75</v>
      </c>
      <c r="L3" s="1">
        <v>200</v>
      </c>
      <c r="M3" s="2">
        <f>SUM(C3:L3)</f>
        <v>750</v>
      </c>
      <c r="N3" s="1">
        <v>5</v>
      </c>
    </row>
    <row r="5" spans="2:18" x14ac:dyDescent="0.25">
      <c r="B5" s="3" t="s">
        <v>21</v>
      </c>
      <c r="C5" s="3" t="s">
        <v>20</v>
      </c>
      <c r="D5" s="3" t="s">
        <v>19</v>
      </c>
      <c r="E5" s="3" t="s">
        <v>18</v>
      </c>
      <c r="F5" s="3" t="s">
        <v>17</v>
      </c>
      <c r="G5" s="3" t="s">
        <v>16</v>
      </c>
      <c r="H5" s="3" t="s">
        <v>14</v>
      </c>
      <c r="I5" s="3" t="s">
        <v>15</v>
      </c>
      <c r="J5" s="3" t="s">
        <v>14</v>
      </c>
      <c r="K5" s="3" t="s">
        <v>13</v>
      </c>
      <c r="L5" s="3" t="s">
        <v>12</v>
      </c>
      <c r="M5" s="3" t="s">
        <v>11</v>
      </c>
      <c r="N5" s="3" t="s">
        <v>10</v>
      </c>
      <c r="O5" s="3" t="s">
        <v>9</v>
      </c>
      <c r="Q5" s="3" t="s">
        <v>10</v>
      </c>
      <c r="R5" s="3" t="s">
        <v>9</v>
      </c>
    </row>
    <row r="6" spans="2:18" x14ac:dyDescent="0.25">
      <c r="B6" s="1" t="s">
        <v>8</v>
      </c>
      <c r="C6" s="1">
        <v>50</v>
      </c>
      <c r="D6" s="1">
        <v>49</v>
      </c>
      <c r="E6" s="1">
        <v>48</v>
      </c>
      <c r="F6" s="1">
        <v>49</v>
      </c>
      <c r="G6" s="1">
        <v>50</v>
      </c>
      <c r="H6" s="1">
        <v>33</v>
      </c>
      <c r="I6" s="1">
        <v>82</v>
      </c>
      <c r="J6" s="1">
        <v>50</v>
      </c>
      <c r="K6" s="1">
        <v>73</v>
      </c>
      <c r="L6" s="1">
        <v>175</v>
      </c>
      <c r="M6" s="2">
        <f>SUM(C6:L6)+$N$3</f>
        <v>664</v>
      </c>
      <c r="N6" s="2" cm="1">
        <f t="array" ref="N6:N13">M6:M13/$M$3</f>
        <v>0.88533333333333331</v>
      </c>
      <c r="O6" s="2" cm="1">
        <f t="array" ref="O6:O13">_xlfn.XLOOKUP(_xlfn.ANCHORARRAY(N6),Q6:Q42,R6:R42,,-1)</f>
        <v>3.4</v>
      </c>
      <c r="Q6" s="1">
        <v>0</v>
      </c>
      <c r="R6" s="1">
        <v>0</v>
      </c>
    </row>
    <row r="7" spans="2:18" x14ac:dyDescent="0.25">
      <c r="B7" s="4" t="s">
        <v>7</v>
      </c>
      <c r="C7" s="1">
        <v>22</v>
      </c>
      <c r="D7" s="1">
        <v>36</v>
      </c>
      <c r="E7" s="1">
        <v>41</v>
      </c>
      <c r="F7" s="1">
        <v>33</v>
      </c>
      <c r="G7" s="1">
        <v>20</v>
      </c>
      <c r="H7" s="1">
        <v>48</v>
      </c>
      <c r="I7" s="1">
        <v>43</v>
      </c>
      <c r="J7" s="1">
        <v>40</v>
      </c>
      <c r="K7" s="1">
        <v>31</v>
      </c>
      <c r="L7" s="1">
        <v>142</v>
      </c>
      <c r="M7" s="2">
        <f>SUM(C7:L7)+$N$3</f>
        <v>461</v>
      </c>
      <c r="N7" s="2">
        <v>0.61466666666666669</v>
      </c>
      <c r="O7" s="2">
        <v>1.5</v>
      </c>
      <c r="Q7" s="1">
        <v>0.45</v>
      </c>
      <c r="R7" s="1">
        <v>0.5</v>
      </c>
    </row>
    <row r="8" spans="2:18" x14ac:dyDescent="0.25">
      <c r="B8" s="1" t="s">
        <v>6</v>
      </c>
      <c r="C8" s="1">
        <v>26</v>
      </c>
      <c r="D8" s="1">
        <v>30</v>
      </c>
      <c r="E8" s="1">
        <v>10</v>
      </c>
      <c r="F8" s="1">
        <v>37</v>
      </c>
      <c r="G8" s="1">
        <v>29</v>
      </c>
      <c r="H8" s="1">
        <v>14</v>
      </c>
      <c r="I8" s="1">
        <v>99</v>
      </c>
      <c r="J8" s="1">
        <v>62</v>
      </c>
      <c r="K8" s="1">
        <v>0</v>
      </c>
      <c r="L8" s="1">
        <v>184</v>
      </c>
      <c r="M8" s="2">
        <f>SUM(C8:L8)+$N$3</f>
        <v>496</v>
      </c>
      <c r="N8" s="2">
        <v>0.66133333333333333</v>
      </c>
      <c r="O8" s="2">
        <v>1.9</v>
      </c>
      <c r="Q8" s="1">
        <v>0.46500000000000002</v>
      </c>
      <c r="R8" s="1">
        <v>0.6</v>
      </c>
    </row>
    <row r="9" spans="2:18" x14ac:dyDescent="0.25">
      <c r="B9" s="1" t="s">
        <v>5</v>
      </c>
      <c r="C9" s="1">
        <v>41</v>
      </c>
      <c r="D9" s="1">
        <v>39</v>
      </c>
      <c r="E9" s="1">
        <v>38</v>
      </c>
      <c r="F9" s="1">
        <v>31</v>
      </c>
      <c r="G9" s="1">
        <v>37</v>
      </c>
      <c r="H9" s="1">
        <v>48</v>
      </c>
      <c r="I9" s="1">
        <v>77</v>
      </c>
      <c r="J9" s="1">
        <v>74</v>
      </c>
      <c r="K9" s="1">
        <v>70</v>
      </c>
      <c r="L9" s="1">
        <v>192</v>
      </c>
      <c r="M9" s="2">
        <f>SUM(C9:L9)+$N$3</f>
        <v>652</v>
      </c>
      <c r="N9" s="2">
        <v>0.86933333333333329</v>
      </c>
      <c r="O9" s="2">
        <v>3.2</v>
      </c>
      <c r="Q9" s="1">
        <v>0.48</v>
      </c>
      <c r="R9" s="1">
        <v>0.7</v>
      </c>
    </row>
    <row r="10" spans="2:18" x14ac:dyDescent="0.25">
      <c r="B10" s="1" t="s">
        <v>4</v>
      </c>
      <c r="C10" s="1">
        <v>46</v>
      </c>
      <c r="D10" s="1">
        <v>45</v>
      </c>
      <c r="E10" s="1">
        <v>41</v>
      </c>
      <c r="F10" s="1">
        <v>45</v>
      </c>
      <c r="G10" s="1">
        <v>49</v>
      </c>
      <c r="H10" s="1">
        <v>50</v>
      </c>
      <c r="I10" s="1">
        <v>85</v>
      </c>
      <c r="J10" s="1">
        <v>75</v>
      </c>
      <c r="K10" s="1">
        <v>75</v>
      </c>
      <c r="L10" s="1">
        <v>182</v>
      </c>
      <c r="M10" s="2">
        <f>SUM(C10:L10)+$N$3</f>
        <v>698</v>
      </c>
      <c r="N10" s="2">
        <v>0.93066666666666664</v>
      </c>
      <c r="O10" s="2">
        <v>3.7</v>
      </c>
      <c r="Q10" s="1">
        <v>0.495</v>
      </c>
      <c r="R10" s="1">
        <v>0.8</v>
      </c>
    </row>
    <row r="11" spans="2:18" x14ac:dyDescent="0.25">
      <c r="B11" s="1" t="s">
        <v>3</v>
      </c>
      <c r="C11" s="1">
        <v>46</v>
      </c>
      <c r="D11" s="1">
        <v>48</v>
      </c>
      <c r="E11" s="1">
        <v>46</v>
      </c>
      <c r="F11" s="1">
        <v>50</v>
      </c>
      <c r="G11" s="1">
        <v>48</v>
      </c>
      <c r="H11" s="1">
        <v>44</v>
      </c>
      <c r="I11" s="1">
        <v>99</v>
      </c>
      <c r="J11" s="1">
        <v>70</v>
      </c>
      <c r="K11" s="1">
        <v>68</v>
      </c>
      <c r="L11" s="1">
        <v>191</v>
      </c>
      <c r="M11" s="2">
        <f>SUM(C11:L11)+$N$3</f>
        <v>715</v>
      </c>
      <c r="N11" s="2">
        <v>0.95333333333333337</v>
      </c>
      <c r="O11" s="2">
        <v>3.8</v>
      </c>
      <c r="Q11" s="1">
        <v>0.51</v>
      </c>
      <c r="R11" s="1">
        <v>0.9</v>
      </c>
    </row>
    <row r="12" spans="2:18" x14ac:dyDescent="0.25">
      <c r="B12" s="1" t="s">
        <v>2</v>
      </c>
      <c r="C12" s="1">
        <v>15</v>
      </c>
      <c r="D12" s="1">
        <v>29</v>
      </c>
      <c r="E12" s="1">
        <v>22</v>
      </c>
      <c r="F12" s="1">
        <v>31</v>
      </c>
      <c r="G12" s="1">
        <v>37</v>
      </c>
      <c r="H12" s="1">
        <v>11</v>
      </c>
      <c r="I12" s="1">
        <v>55</v>
      </c>
      <c r="J12" s="1">
        <v>42</v>
      </c>
      <c r="K12" s="1">
        <v>36</v>
      </c>
      <c r="L12" s="1">
        <v>87</v>
      </c>
      <c r="M12" s="2">
        <f>SUM(C12:L12)+$N$3</f>
        <v>370</v>
      </c>
      <c r="N12" s="2">
        <v>0.49333333333333335</v>
      </c>
      <c r="O12" s="2">
        <v>0.7</v>
      </c>
      <c r="Q12" s="1">
        <v>0.52500000000000002</v>
      </c>
      <c r="R12" s="1">
        <v>1</v>
      </c>
    </row>
    <row r="13" spans="2:18" x14ac:dyDescent="0.25">
      <c r="B13" s="1" t="s">
        <v>1</v>
      </c>
      <c r="C13" s="1">
        <v>48</v>
      </c>
      <c r="D13" s="1">
        <v>49</v>
      </c>
      <c r="E13" s="1">
        <v>48</v>
      </c>
      <c r="F13" s="1">
        <v>45</v>
      </c>
      <c r="G13" s="1">
        <v>43</v>
      </c>
      <c r="H13" s="1">
        <v>45</v>
      </c>
      <c r="I13" s="1">
        <v>98</v>
      </c>
      <c r="J13" s="1">
        <v>71</v>
      </c>
      <c r="K13" s="1">
        <v>69</v>
      </c>
      <c r="L13" s="1">
        <v>195</v>
      </c>
      <c r="M13" s="2">
        <f>SUM(C13:L13)+$N$3</f>
        <v>716</v>
      </c>
      <c r="N13" s="2">
        <v>0.95466666666666666</v>
      </c>
      <c r="O13" s="2">
        <v>3.8</v>
      </c>
      <c r="Q13" s="1">
        <v>0.54</v>
      </c>
      <c r="R13" s="1">
        <v>1.1000000000000001</v>
      </c>
    </row>
    <row r="14" spans="2:18" x14ac:dyDescent="0.25">
      <c r="B14" s="3" t="s">
        <v>0</v>
      </c>
      <c r="C14" s="2">
        <f>AVERAGE(C6:C13)</f>
        <v>36.75</v>
      </c>
      <c r="D14" s="2">
        <f>AVERAGE(D6:D13)</f>
        <v>40.625</v>
      </c>
      <c r="E14" s="2">
        <f>AVERAGE(E6:E13)</f>
        <v>36.75</v>
      </c>
      <c r="F14" s="2">
        <f>AVERAGE(F6:F13)</f>
        <v>40.125</v>
      </c>
      <c r="G14" s="2">
        <f>AVERAGE(G6:G13)</f>
        <v>39.125</v>
      </c>
      <c r="H14" s="2">
        <f>AVERAGE(H6:H13)</f>
        <v>36.625</v>
      </c>
      <c r="I14" s="2">
        <f>AVERAGE(I6:I13)</f>
        <v>79.75</v>
      </c>
      <c r="J14" s="2">
        <f>AVERAGE(J6:J13)</f>
        <v>60.5</v>
      </c>
      <c r="K14" s="2">
        <f>AVERAGE(K6:K13)</f>
        <v>52.75</v>
      </c>
      <c r="L14" s="2">
        <f>AVERAGE(L6:L13)</f>
        <v>168.5</v>
      </c>
      <c r="M14" s="2">
        <f>AVERAGE(M6:M13)</f>
        <v>596.5</v>
      </c>
      <c r="N14" s="2">
        <f>AVERAGE(N6:N13)</f>
        <v>0.79533333333333334</v>
      </c>
      <c r="O14" s="2">
        <f>AVERAGE(O6:O13)</f>
        <v>2.75</v>
      </c>
      <c r="Q14" s="1">
        <v>0.55500000000000005</v>
      </c>
      <c r="R14" s="1">
        <v>1.2</v>
      </c>
    </row>
    <row r="15" spans="2:18" x14ac:dyDescent="0.25">
      <c r="Q15" s="1">
        <v>0.56999999999999995</v>
      </c>
      <c r="R15" s="1">
        <v>1.3</v>
      </c>
    </row>
    <row r="16" spans="2:18" x14ac:dyDescent="0.25">
      <c r="Q16" s="1">
        <v>0.58499999999999996</v>
      </c>
      <c r="R16" s="1">
        <v>1.4</v>
      </c>
    </row>
    <row r="17" spans="17:18" x14ac:dyDescent="0.25">
      <c r="Q17" s="1">
        <v>0.6</v>
      </c>
      <c r="R17" s="1">
        <v>1.5</v>
      </c>
    </row>
    <row r="18" spans="17:18" x14ac:dyDescent="0.25">
      <c r="Q18" s="1">
        <v>0.61499999999999999</v>
      </c>
      <c r="R18" s="1">
        <v>1.6</v>
      </c>
    </row>
    <row r="19" spans="17:18" x14ac:dyDescent="0.25">
      <c r="Q19" s="1">
        <v>0.63</v>
      </c>
      <c r="R19" s="1">
        <v>1.7</v>
      </c>
    </row>
    <row r="20" spans="17:18" x14ac:dyDescent="0.25">
      <c r="Q20" s="1">
        <v>0.64500000000000002</v>
      </c>
      <c r="R20" s="1">
        <v>1.8</v>
      </c>
    </row>
    <row r="21" spans="17:18" x14ac:dyDescent="0.25">
      <c r="Q21" s="1">
        <v>0.66</v>
      </c>
      <c r="R21" s="1">
        <v>1.9</v>
      </c>
    </row>
    <row r="22" spans="17:18" x14ac:dyDescent="0.25">
      <c r="Q22" s="1">
        <v>0.67500000000000004</v>
      </c>
      <c r="R22" s="1">
        <v>2</v>
      </c>
    </row>
    <row r="23" spans="17:18" x14ac:dyDescent="0.25">
      <c r="Q23" s="1">
        <v>0.69</v>
      </c>
      <c r="R23" s="1">
        <v>2.1</v>
      </c>
    </row>
    <row r="24" spans="17:18" x14ac:dyDescent="0.25">
      <c r="Q24" s="1">
        <v>0.70499999999999996</v>
      </c>
      <c r="R24" s="1">
        <v>2.2000000000000002</v>
      </c>
    </row>
    <row r="25" spans="17:18" x14ac:dyDescent="0.25">
      <c r="Q25" s="1">
        <v>0.72</v>
      </c>
      <c r="R25" s="1">
        <v>2.2999999999999998</v>
      </c>
    </row>
    <row r="26" spans="17:18" x14ac:dyDescent="0.25">
      <c r="Q26" s="1">
        <v>0.73499999999999999</v>
      </c>
      <c r="R26" s="1">
        <v>2.4</v>
      </c>
    </row>
    <row r="27" spans="17:18" x14ac:dyDescent="0.25">
      <c r="Q27" s="1">
        <v>0.75</v>
      </c>
      <c r="R27" s="1">
        <v>2.5</v>
      </c>
    </row>
    <row r="28" spans="17:18" x14ac:dyDescent="0.25">
      <c r="Q28" s="1">
        <v>0.76500000000000001</v>
      </c>
      <c r="R28" s="1">
        <v>2.6</v>
      </c>
    </row>
    <row r="29" spans="17:18" x14ac:dyDescent="0.25">
      <c r="Q29" s="1">
        <v>0.78</v>
      </c>
      <c r="R29" s="1">
        <v>2.7</v>
      </c>
    </row>
    <row r="30" spans="17:18" x14ac:dyDescent="0.25">
      <c r="Q30" s="1">
        <v>0.79500000000000004</v>
      </c>
      <c r="R30" s="1">
        <v>2.8</v>
      </c>
    </row>
    <row r="31" spans="17:18" x14ac:dyDescent="0.25">
      <c r="Q31" s="1">
        <v>0.81</v>
      </c>
      <c r="R31" s="1">
        <v>2.9</v>
      </c>
    </row>
    <row r="32" spans="17:18" x14ac:dyDescent="0.25">
      <c r="Q32" s="1">
        <v>0.82499999999999996</v>
      </c>
      <c r="R32" s="1">
        <v>3</v>
      </c>
    </row>
    <row r="33" spans="17:18" x14ac:dyDescent="0.25">
      <c r="Q33" s="1">
        <v>0.84</v>
      </c>
      <c r="R33" s="1">
        <v>3.1</v>
      </c>
    </row>
    <row r="34" spans="17:18" x14ac:dyDescent="0.25">
      <c r="Q34" s="1">
        <v>0.85499999999999998</v>
      </c>
      <c r="R34" s="1">
        <v>3.2</v>
      </c>
    </row>
    <row r="35" spans="17:18" x14ac:dyDescent="0.25">
      <c r="Q35" s="1">
        <v>0.87</v>
      </c>
      <c r="R35" s="1">
        <v>3.3</v>
      </c>
    </row>
    <row r="36" spans="17:18" x14ac:dyDescent="0.25">
      <c r="Q36" s="1">
        <v>0.88500000000000001</v>
      </c>
      <c r="R36" s="1">
        <v>3.4</v>
      </c>
    </row>
    <row r="37" spans="17:18" x14ac:dyDescent="0.25">
      <c r="Q37" s="1">
        <v>0.9</v>
      </c>
      <c r="R37" s="1">
        <v>3.5</v>
      </c>
    </row>
    <row r="38" spans="17:18" x14ac:dyDescent="0.25">
      <c r="Q38" s="1">
        <v>0.91500000000000004</v>
      </c>
      <c r="R38" s="1">
        <v>3.6</v>
      </c>
    </row>
    <row r="39" spans="17:18" x14ac:dyDescent="0.25">
      <c r="Q39" s="1">
        <v>0.93</v>
      </c>
      <c r="R39" s="1">
        <v>3.7</v>
      </c>
    </row>
    <row r="40" spans="17:18" x14ac:dyDescent="0.25">
      <c r="Q40" s="1">
        <v>0.94499999999999995</v>
      </c>
      <c r="R40" s="1">
        <v>3.8</v>
      </c>
    </row>
    <row r="41" spans="17:18" x14ac:dyDescent="0.25">
      <c r="Q41" s="1">
        <v>0.96</v>
      </c>
      <c r="R41" s="1">
        <v>3.9</v>
      </c>
    </row>
    <row r="42" spans="17:18" x14ac:dyDescent="0.25">
      <c r="Q42" s="1">
        <v>0.97499999999999998</v>
      </c>
      <c r="R42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 ==&gt;&gt;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Hernandez</dc:creator>
  <cp:lastModifiedBy>Randy Hernandez</cp:lastModifiedBy>
  <dcterms:created xsi:type="dcterms:W3CDTF">2026-07-21T00:52:41Z</dcterms:created>
  <dcterms:modified xsi:type="dcterms:W3CDTF">2026-07-21T00:53:01Z</dcterms:modified>
</cp:coreProperties>
</file>