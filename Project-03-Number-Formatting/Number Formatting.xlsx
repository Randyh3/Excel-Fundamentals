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vi\Downloads\"/>
    </mc:Choice>
  </mc:AlternateContent>
  <xr:revisionPtr revIDLastSave="0" documentId="8_{469FF20A-7BD0-43A4-A1B8-1D1FD01278EF}" xr6:coauthVersionLast="47" xr6:coauthVersionMax="47" xr10:uidLastSave="{00000000-0000-0000-0000-000000000000}"/>
  <bookViews>
    <workbookView xWindow="-120" yWindow="-120" windowWidth="29040" windowHeight="15720" xr2:uid="{8E2BBFEC-174D-4591-B844-4E12DC6C1FC4}"/>
  </bookViews>
  <sheets>
    <sheet name="NF(1)" sheetId="1" r:id="rId1"/>
    <sheet name="NF(2)" sheetId="2" r:id="rId2"/>
    <sheet name="NF(3)" sheetId="3" r:id="rId3"/>
    <sheet name="NF(4)" sheetId="4" r:id="rId4"/>
    <sheet name="NF(5)" sheetId="5" r:id="rId5"/>
    <sheet name="ROUND(1)" sheetId="6" r:id="rId6"/>
    <sheet name="ROUND(2)" sheetId="7" r:id="rId7"/>
    <sheet name="HW(1)" sheetId="9" r:id="rId8"/>
    <sheet name="HW(2)" sheetId="12" r:id="rId9"/>
  </sheets>
  <definedNames>
    <definedName name="_xlnm._FilterDatabase" localSheetId="5" hidden="1">'ROUND(1)'!$I$41:$L$380</definedName>
    <definedName name="_xlnm._FilterDatabase" localSheetId="6" hidden="1">'ROUND(2)'!$H$27:$K$366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9" l="1"/>
  <c r="C4" i="9" a="1"/>
  <c r="C4" i="9" s="1"/>
  <c r="B38" i="7" a="1"/>
  <c r="B38" i="7" s="1"/>
  <c r="D29" i="7"/>
  <c r="D25" i="7" a="1"/>
  <c r="D17" i="7"/>
  <c r="D14" i="7" a="1"/>
  <c r="D14" i="7" s="1"/>
  <c r="F17" i="7"/>
  <c r="C17" i="7"/>
  <c r="C14" i="7" a="1"/>
  <c r="C14" i="7" s="1"/>
  <c r="G15" i="6"/>
  <c r="F15" i="6"/>
  <c r="E15" i="6"/>
  <c r="H5" i="5"/>
  <c r="C2" i="2"/>
  <c r="B42" i="7" l="1"/>
  <c r="D25" i="7"/>
  <c r="D28" i="7" s="1"/>
  <c r="E2" i="2"/>
  <c r="D30" i="7" l="1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H27" i="7" l="1"/>
  <c r="H26" i="7"/>
  <c r="H25" i="7"/>
  <c r="H28" i="7" l="1"/>
  <c r="D6" i="5" l="1"/>
  <c r="D5" i="5"/>
  <c r="D1" i="5"/>
  <c r="D2" i="5"/>
  <c r="D4" i="4"/>
  <c r="F4" i="4" s="1"/>
  <c r="D5" i="4"/>
  <c r="F5" i="4" s="1"/>
  <c r="D6" i="4"/>
  <c r="F6" i="4" s="1"/>
  <c r="D7" i="4"/>
  <c r="F7" i="4" s="1"/>
  <c r="D8" i="4"/>
  <c r="F8" i="4" s="1"/>
  <c r="D9" i="4"/>
  <c r="F9" i="4" s="1"/>
  <c r="D10" i="4"/>
  <c r="F10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<sst xmlns="http://schemas.openxmlformats.org/spreadsheetml/2006/main" count="176" uniqueCount="120">
  <si>
    <t>Employee</t>
  </si>
  <si>
    <t>Sales</t>
  </si>
  <si>
    <t>Abdi</t>
  </si>
  <si>
    <t>Gigi</t>
  </si>
  <si>
    <t>Pham</t>
  </si>
  <si>
    <t>Tyrone</t>
  </si>
  <si>
    <t>Sioux</t>
  </si>
  <si>
    <t>Miki</t>
  </si>
  <si>
    <t>Naoya</t>
  </si>
  <si>
    <t>Price</t>
  </si>
  <si>
    <t>Quantity</t>
  </si>
  <si>
    <t>Total</t>
  </si>
  <si>
    <t>Formula in cell:</t>
  </si>
  <si>
    <t>What does Number Formatting do?</t>
  </si>
  <si>
    <t>Formulas do not “see” Number Formatting.</t>
  </si>
  <si>
    <t>General</t>
  </si>
  <si>
    <t>Currency</t>
  </si>
  <si>
    <t>Accounting</t>
  </si>
  <si>
    <t>Tax Rate</t>
  </si>
  <si>
    <t>Percentage Number Formatting</t>
  </si>
  <si>
    <t>and</t>
  </si>
  <si>
    <t>1) The decimal slid two positions to the right</t>
  </si>
  <si>
    <t>2) A percentage sign.</t>
  </si>
  <si>
    <t>0.03 displays as 3.00%</t>
  </si>
  <si>
    <t>Don't get trick by Percentage Number Formatting:</t>
  </si>
  <si>
    <t>For the number 0.03,</t>
  </si>
  <si>
    <t>Percentage Number Formatting displays the number with:</t>
  </si>
  <si>
    <t>Amount</t>
  </si>
  <si>
    <t>Tax Amount</t>
  </si>
  <si>
    <t>1% of $1 is 1 penny, right?</t>
  </si>
  <si>
    <t>How to round by hand?</t>
  </si>
  <si>
    <t>1) Pick position you want to round to</t>
  </si>
  <si>
    <t>2) look at digit to right:</t>
  </si>
  <si>
    <t>5 or bigger ==&gt;&gt;  add one to position you are rounding to and remove unwanted digits</t>
  </si>
  <si>
    <t>4 or less     ==&gt;&gt;  remove unwanted digits</t>
  </si>
  <si>
    <r>
      <t>52.7</t>
    </r>
    <r>
      <rPr>
        <b/>
        <sz val="16"/>
        <color rgb="FF0000FF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584</t>
    </r>
  </si>
  <si>
    <r>
      <t>52.7</t>
    </r>
    <r>
      <rPr>
        <sz val="11"/>
        <rFont val="Calibri"/>
        <family val="2"/>
        <scheme val="minor"/>
      </rPr>
      <t>2</t>
    </r>
    <r>
      <rPr>
        <sz val="16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584</t>
    </r>
  </si>
  <si>
    <r>
      <t>52.7</t>
    </r>
    <r>
      <rPr>
        <b/>
        <sz val="16"/>
        <color rgb="FF0000FF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625</t>
    </r>
  </si>
  <si>
    <r>
      <t>52.7</t>
    </r>
    <r>
      <rPr>
        <sz val="11"/>
        <rFont val="Calibri"/>
        <family val="2"/>
        <scheme val="minor"/>
      </rPr>
      <t>2</t>
    </r>
    <r>
      <rPr>
        <sz val="16"/>
        <color rgb="FFFF0000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625</t>
    </r>
  </si>
  <si>
    <t>We can use the ROUND function to remove unwanted decimals</t>
  </si>
  <si>
    <t>Payroll</t>
  </si>
  <si>
    <t>Invoices</t>
  </si>
  <si>
    <t>Payroll:</t>
  </si>
  <si>
    <t>Gross Pay</t>
  </si>
  <si>
    <t>Tax Deduction</t>
  </si>
  <si>
    <t>Lillian  Holt</t>
  </si>
  <si>
    <t>Jasmine  Phelps</t>
  </si>
  <si>
    <t>Sadie  Hudson</t>
  </si>
  <si>
    <t>Round to penny (hundredths position) use 2</t>
  </si>
  <si>
    <t>Round to dollar (ones position) use 0</t>
  </si>
  <si>
    <t>Round to thousands (thousands position) use -3</t>
  </si>
  <si>
    <t>Item</t>
  </si>
  <si>
    <t>Units</t>
  </si>
  <si>
    <t>1'' screws</t>
  </si>
  <si>
    <t>6" lock pads</t>
  </si>
  <si>
    <t>Subtotal</t>
  </si>
  <si>
    <t>Tax</t>
  </si>
  <si>
    <t>Thanks for your Order!</t>
  </si>
  <si>
    <t>**Payroll Taxes and Invoices often times have to round to the penny.</t>
  </si>
  <si>
    <t>**Sometimes for INCOME TAXES you have to round to the dollar.</t>
  </si>
  <si>
    <t>Taxable Amount</t>
  </si>
  <si>
    <t>Tax
rounded to dollar</t>
  </si>
  <si>
    <t>1) You are required to round, like with Money.</t>
  </si>
  <si>
    <t>3) You will use formula result in a subsequent formula.</t>
  </si>
  <si>
    <t>2) You have extraneous decimals, like past the penny position.</t>
  </si>
  <si>
    <t>When not to use ROUND:</t>
  </si>
  <si>
    <t>When you are just looking at number, then you can use Number Formatting</t>
  </si>
  <si>
    <t>Examples where you often have to round your numbers:</t>
  </si>
  <si>
    <t>ROUND</t>
  </si>
  <si>
    <t>No ROUND</t>
  </si>
  <si>
    <t>2'' screws</t>
  </si>
  <si>
    <t>Income Taxes</t>
  </si>
  <si>
    <t>No Number Format</t>
  </si>
  <si>
    <t>Currency Number Format does NOT Remove Decimals</t>
  </si>
  <si>
    <t>ROUND Removes Decimals after Penny Position</t>
  </si>
  <si>
    <t>When you MUST use ROUND:</t>
  </si>
  <si>
    <t>Invoicing:</t>
  </si>
  <si>
    <t>Income Tax:</t>
  </si>
  <si>
    <t>Lindee</t>
  </si>
  <si>
    <t>Billy</t>
  </si>
  <si>
    <t>Mo</t>
  </si>
  <si>
    <t>Chin</t>
  </si>
  <si>
    <t>Danny</t>
  </si>
  <si>
    <t>Osborn</t>
  </si>
  <si>
    <t>Phil</t>
  </si>
  <si>
    <t>Ann</t>
  </si>
  <si>
    <t>ShelaDawn</t>
  </si>
  <si>
    <t>Calculate the Tax Deduction for each employee and then add to get the Total Tax Deduction</t>
  </si>
  <si>
    <t>What is misleading about the below spreadhseet?</t>
  </si>
  <si>
    <t>rate is supposed to be 10% or not, or if the formula result is</t>
  </si>
  <si>
    <t>correct. I do know that the formula can NOT "see" Number</t>
  </si>
  <si>
    <t>Formatting.</t>
  </si>
  <si>
    <t>1) Formulas make calculations on the underlying number that sits in the cell.</t>
  </si>
  <si>
    <t>2) Formulas do NOT make calculations on the Number Formatting that you see on the surface of the cell.</t>
  </si>
  <si>
    <t>Number Formatting can save us a lot of time with data entry!!</t>
  </si>
  <si>
    <t>General Number Formatting:</t>
  </si>
  <si>
    <t>General Number Formatting = What you see is what is in the cell.</t>
  </si>
  <si>
    <t>Accounting Number Format:</t>
  </si>
  <si>
    <t>Fixed dollar sign (left edge of cell).</t>
  </si>
  <si>
    <t>Negatives are in parenthesis.</t>
  </si>
  <si>
    <t>Zeros are dashes.</t>
  </si>
  <si>
    <t>Decimals always line up.</t>
  </si>
  <si>
    <t>Currency:</t>
  </si>
  <si>
    <t>Floating dollar sign.</t>
  </si>
  <si>
    <t>You choose how to show negatives.</t>
  </si>
  <si>
    <t>Zeros are zeros.</t>
  </si>
  <si>
    <t>Decimals usually line up.</t>
  </si>
  <si>
    <t>General Number Formatting ERASES all previously applied Number Formatting.</t>
  </si>
  <si>
    <t>Formulas do NOT "see" Number Formatting.</t>
  </si>
  <si>
    <t>Formula Calculate on underlying Number</t>
  </si>
  <si>
    <t>Type What you see:</t>
  </si>
  <si>
    <r>
      <t>52.7</t>
    </r>
    <r>
      <rPr>
        <b/>
        <sz val="16"/>
        <color rgb="FF0000FF"/>
        <rFont val="Calibri"/>
        <family val="2"/>
        <scheme val="minor"/>
      </rPr>
      <t>(2+1)</t>
    </r>
    <r>
      <rPr>
        <strike/>
        <sz val="11"/>
        <rFont val="Calibri"/>
        <family val="2"/>
        <scheme val="minor"/>
      </rPr>
      <t>7625</t>
    </r>
  </si>
  <si>
    <r>
      <t>52.7</t>
    </r>
    <r>
      <rPr>
        <b/>
        <sz val="16"/>
        <color rgb="FF0000FF"/>
        <rFont val="Calibri"/>
        <family val="2"/>
        <scheme val="minor"/>
      </rPr>
      <t>(2+0)</t>
    </r>
    <r>
      <rPr>
        <strike/>
        <sz val="11"/>
        <rFont val="Calibri"/>
        <family val="2"/>
        <scheme val="minor"/>
      </rPr>
      <t>4584</t>
    </r>
  </si>
  <si>
    <t>Price ($)</t>
  </si>
  <si>
    <t>Gross Pay ($)</t>
  </si>
  <si>
    <r>
      <rPr>
        <b/>
        <sz val="11"/>
        <color theme="1"/>
        <rFont val="Calibri"/>
        <family val="2"/>
        <scheme val="minor"/>
      </rPr>
      <t>Answer:</t>
    </r>
    <r>
      <rPr>
        <sz val="11"/>
        <color theme="1"/>
        <rFont val="Calibri"/>
        <family val="2"/>
        <scheme val="minor"/>
      </rPr>
      <t xml:space="preserve"> The Tax Rate has had the decimals decreased. I</t>
    </r>
  </si>
  <si>
    <t>am not sure if the person who created this thought the tax</t>
  </si>
  <si>
    <t>num_digit argument in ROUND Function:</t>
  </si>
  <si>
    <t>Invoice Number:</t>
  </si>
  <si>
    <t>Without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</si>
</sst>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5" formatCode="&quot;$&quot;#,##0.00"/>
    <numFmt numFmtId="166" formatCode="0.000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5" fillId="2" borderId="0" xfId="0" applyFont="1" applyFill="1"/>
    <xf numFmtId="0" fontId="5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wrapText="1"/>
    </xf>
    <xf numFmtId="0" fontId="4" fillId="0" borderId="0" xfId="0" applyFont="1"/>
    <xf numFmtId="165" fontId="0" fillId="0" borderId="1" xfId="0" applyNumberFormat="1" applyBorder="1"/>
    <xf numFmtId="0" fontId="0" fillId="0" borderId="0" xfId="0" applyAlignment="1">
      <alignment vertical="center"/>
    </xf>
    <xf numFmtId="0" fontId="0" fillId="4" borderId="1" xfId="0" applyFill="1" applyBorder="1"/>
    <xf numFmtId="44" fontId="0" fillId="0" borderId="1" xfId="0" applyNumberFormat="1" applyBorder="1"/>
    <xf numFmtId="0" fontId="6" fillId="0" borderId="0" xfId="0" applyFont="1"/>
    <xf numFmtId="0" fontId="5" fillId="5" borderId="1" xfId="0" applyFont="1" applyFill="1" applyBorder="1"/>
    <xf numFmtId="10" fontId="0" fillId="0" borderId="1" xfId="0" applyNumberFormat="1" applyBorder="1"/>
    <xf numFmtId="9" fontId="0" fillId="0" borderId="1" xfId="0" applyNumberFormat="1" applyBorder="1"/>
    <xf numFmtId="0" fontId="5" fillId="2" borderId="1" xfId="0" applyFont="1" applyFill="1" applyBorder="1" applyAlignment="1">
      <alignment wrapText="1"/>
    </xf>
    <xf numFmtId="8" fontId="0" fillId="0" borderId="1" xfId="0" applyNumberFormat="1" applyBorder="1"/>
    <xf numFmtId="8" fontId="0" fillId="3" borderId="1" xfId="1" applyNumberFormat="1" applyFont="1" applyFill="1" applyBorder="1"/>
    <xf numFmtId="0" fontId="2" fillId="6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 applyAlignment="1">
      <alignment horizontal="centerContinuous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165" fontId="0" fillId="3" borderId="1" xfId="0" applyNumberFormat="1" applyFill="1" applyBorder="1"/>
    <xf numFmtId="0" fontId="4" fillId="0" borderId="12" xfId="0" applyFont="1" applyBorder="1"/>
    <xf numFmtId="0" fontId="0" fillId="0" borderId="13" xfId="0" applyBorder="1"/>
    <xf numFmtId="0" fontId="7" fillId="0" borderId="14" xfId="0" applyFont="1" applyBorder="1"/>
    <xf numFmtId="0" fontId="0" fillId="0" borderId="15" xfId="0" applyBorder="1"/>
    <xf numFmtId="0" fontId="0" fillId="0" borderId="14" xfId="0" applyBorder="1"/>
    <xf numFmtId="0" fontId="3" fillId="0" borderId="14" xfId="0" applyFont="1" applyBorder="1" applyAlignment="1">
      <alignment horizontal="left" indent="4"/>
    </xf>
    <xf numFmtId="0" fontId="0" fillId="0" borderId="15" xfId="0" quotePrefix="1" applyBorder="1" applyAlignment="1">
      <alignment horizontal="right"/>
    </xf>
    <xf numFmtId="0" fontId="0" fillId="0" borderId="16" xfId="0" applyBorder="1"/>
    <xf numFmtId="0" fontId="0" fillId="0" borderId="17" xfId="0" applyBorder="1"/>
    <xf numFmtId="165" fontId="0" fillId="3" borderId="1" xfId="1" applyNumberFormat="1" applyFont="1" applyFill="1" applyBorder="1"/>
    <xf numFmtId="165" fontId="0" fillId="3" borderId="2" xfId="1" applyNumberFormat="1" applyFont="1" applyFill="1" applyBorder="1"/>
    <xf numFmtId="0" fontId="5" fillId="2" borderId="18" xfId="0" applyFont="1" applyFill="1" applyBorder="1"/>
    <xf numFmtId="0" fontId="0" fillId="4" borderId="1" xfId="0" applyFill="1" applyBorder="1" applyAlignment="1">
      <alignment wrapText="1"/>
    </xf>
    <xf numFmtId="0" fontId="0" fillId="3" borderId="1" xfId="1" applyNumberFormat="1" applyFont="1" applyFill="1" applyBorder="1"/>
    <xf numFmtId="0" fontId="0" fillId="0" borderId="10" xfId="0" applyBorder="1"/>
    <xf numFmtId="0" fontId="0" fillId="0" borderId="11" xfId="0" applyBorder="1"/>
    <xf numFmtId="0" fontId="0" fillId="4" borderId="1" xfId="0" applyFill="1" applyBorder="1" applyAlignment="1">
      <alignment horizontal="left" indent="1"/>
    </xf>
    <xf numFmtId="0" fontId="0" fillId="7" borderId="1" xfId="0" applyFill="1" applyBorder="1"/>
    <xf numFmtId="166" fontId="0" fillId="0" borderId="1" xfId="0" applyNumberFormat="1" applyBorder="1"/>
    <xf numFmtId="0" fontId="0" fillId="8" borderId="19" xfId="0" applyFill="1" applyBorder="1"/>
    <xf numFmtId="0" fontId="0" fillId="8" borderId="20" xfId="0" applyFill="1" applyBorder="1"/>
    <xf numFmtId="0" fontId="0" fillId="8" borderId="21" xfId="0" applyFill="1" applyBorder="1"/>
    <xf numFmtId="1" fontId="0" fillId="0" borderId="1" xfId="0" applyNumberFormat="1" applyBorder="1"/>
    <xf numFmtId="0" fontId="0" fillId="0" borderId="0" xfId="0" applyAlignment="1">
      <alignment horizontal="left" vertical="center" indent="1"/>
    </xf>
    <xf numFmtId="0" fontId="0" fillId="9" borderId="0" xfId="0" applyFill="1"/>
    <xf numFmtId="0" fontId="4" fillId="9" borderId="0" xfId="0" applyFont="1" applyFill="1"/>
    <xf numFmtId="0" fontId="12" fillId="9" borderId="0" xfId="0" applyFont="1" applyFill="1" applyAlignment="1">
      <alignment horizontal="centerContinuous"/>
    </xf>
    <xf numFmtId="0" fontId="13" fillId="9" borderId="0" xfId="0" applyFont="1" applyFill="1" applyAlignment="1">
      <alignment horizontal="centerContinuous"/>
    </xf>
    <xf numFmtId="0" fontId="0" fillId="9" borderId="22" xfId="0" applyFill="1" applyBorder="1"/>
    <xf numFmtId="0" fontId="6" fillId="9" borderId="23" xfId="0" applyFont="1" applyFill="1" applyBorder="1" applyAlignment="1">
      <alignment vertical="center"/>
    </xf>
    <xf numFmtId="0" fontId="0" fillId="9" borderId="23" xfId="0" applyFill="1" applyBorder="1"/>
    <xf numFmtId="0" fontId="0" fillId="9" borderId="24" xfId="0" applyFill="1" applyBorder="1"/>
    <xf numFmtId="0" fontId="0" fillId="9" borderId="25" xfId="0" applyFill="1" applyBorder="1"/>
    <xf numFmtId="0" fontId="0" fillId="9" borderId="0" xfId="0" applyFill="1" applyAlignment="1">
      <alignment horizontal="left" vertical="center" indent="2"/>
    </xf>
    <xf numFmtId="0" fontId="0" fillId="9" borderId="26" xfId="0" applyFill="1" applyBorder="1"/>
    <xf numFmtId="0" fontId="6" fillId="9" borderId="0" xfId="0" applyFont="1" applyFill="1" applyAlignment="1">
      <alignment vertical="center"/>
    </xf>
    <xf numFmtId="0" fontId="0" fillId="9" borderId="27" xfId="0" applyFill="1" applyBorder="1"/>
    <xf numFmtId="0" fontId="0" fillId="9" borderId="28" xfId="0" applyFill="1" applyBorder="1"/>
    <xf numFmtId="0" fontId="0" fillId="9" borderId="29" xfId="0" applyFill="1" applyBorder="1"/>
    <xf numFmtId="0" fontId="6" fillId="9" borderId="0" xfId="0" applyFont="1" applyFill="1"/>
    <xf numFmtId="0" fontId="5" fillId="5" borderId="18" xfId="0" applyFont="1" applyFill="1" applyBorder="1"/>
    <xf numFmtId="10" fontId="0" fillId="0" borderId="18" xfId="0" applyNumberFormat="1" applyBorder="1"/>
    <xf numFmtId="0" fontId="6" fillId="9" borderId="22" xfId="0" applyFont="1" applyFill="1" applyBorder="1"/>
    <xf numFmtId="0" fontId="0" fillId="9" borderId="0" xfId="0" applyFill="1" applyAlignment="1">
      <alignment horizontal="left" inden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6" fillId="9" borderId="0" xfId="0" applyFont="1" applyFill="1" applyAlignment="1">
      <alignment horizontal="left"/>
    </xf>
    <xf numFmtId="0" fontId="0" fillId="3" borderId="2" xfId="1" applyNumberFormat="1" applyFont="1" applyFill="1" applyBorder="1"/>
    <xf numFmtId="0" fontId="0" fillId="0" borderId="1" xfId="1" applyNumberFormat="1" applyFont="1" applyFill="1" applyBorder="1"/>
    <xf numFmtId="9" fontId="0" fillId="0" borderId="1" xfId="2" applyFont="1" applyBorder="1"/>
    <xf numFmtId="0" fontId="0" fillId="0" borderId="0" xfId="2" applyNumberFormat="1" applyFont="1"/>
    <xf numFmtId="0" fontId="4" fillId="0" borderId="10" xfId="0" applyFont="1" applyBorder="1" applyAlignment="1">
      <alignment horizontal="left"/>
    </xf>
    <xf numFmtId="0" fontId="4" fillId="0" borderId="1" xfId="0" applyFont="1" applyBorder="1"/>
    <xf numFmtId="8" fontId="4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1">
    <dxf>
      <numFmt numFmtId="167" formatCode=";;;"/>
    </dxf>
  </dxfs>
  <tableStyles count="0" defaultTableStyle="TableStyleMedium2" defaultPivotStyle="PivotStyleLight16"/>
  <colors>
    <mruColors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241610</xdr:colOff>
      <xdr:row>10</xdr:row>
      <xdr:rowOff>87687</xdr:rowOff>
    </xdr:from>
    <xdr:to>
      <xdr:col>8</xdr:col>
      <xdr:colOff>298529</xdr:colOff>
      <xdr:row>17</xdr:row>
      <xdr:rowOff>133583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4905EA-0216-49E1-B0C4-714D304B0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110" y="1992687"/>
          <a:ext cx="4266969" cy="1379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274132</xdr:colOff>
      <xdr:row>3</xdr:row>
      <xdr:rowOff>136059</xdr:rowOff>
    </xdr:from>
    <xdr:to>
      <xdr:col>4</xdr:col>
      <xdr:colOff>71319</xdr:colOff>
      <xdr:row>12</xdr:row>
      <xdr:rowOff>144036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5C3EEB-B929-4B01-8DCC-489C9B670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132" y="326559"/>
          <a:ext cx="1623199" cy="1722477"/>
        </a:xfrm>
        <a:prstGeom prst="rect">
          <a:avLst/>
        </a:prstGeom>
        <a:solidFill>
          <a:schemeClr val="accent1">
            <a:alpha val="0"/>
          </a:schemeClr>
        </a:solidFill>
        <a:ln w="25400">
          <a:solidFill>
            <a:srgbClr val="FF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36634</xdr:colOff>
      <xdr:row>16</xdr:row>
      <xdr:rowOff>102576</xdr:rowOff>
    </xdr:from>
    <xdr:to>
      <xdr:col>6</xdr:col>
      <xdr:colOff>183173</xdr:colOff>
      <xdr:row>22</xdr:row>
      <xdr:rowOff>113567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24B7D61-B090-40B4-8CD1-9FD02C09F588}"/>
            </a:ext>
          </a:extLst>
        </xdr:cNvPr>
        <xdr:cNvGrpSpPr/>
      </xdr:nvGrpSpPr>
      <xdr:grpSpPr>
        <a:xfrm>
          <a:off x="2337288" y="3326422"/>
          <a:ext cx="4366847" cy="1219933"/>
          <a:chOff x="1964532" y="3786187"/>
          <a:chExt cx="4167186" cy="1166814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356A42DF-42F6-4DFB-B847-C3E924DFE3CC}"/>
              </a:ext>
            </a:extLst>
          </xdr:cNvPr>
          <xdr:cNvSpPr/>
        </xdr:nvSpPr>
        <xdr:spPr>
          <a:xfrm>
            <a:off x="1964532" y="4065985"/>
            <a:ext cx="1857375" cy="887016"/>
          </a:xfrm>
          <a:prstGeom prst="rect">
            <a:avLst/>
          </a:prstGeom>
          <a:solidFill>
            <a:schemeClr val="bg1"/>
          </a:solidFill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$163.89 is not the correct total because the SUM Function is adding all of the extraneous</a:t>
            </a:r>
            <a:r>
              <a:rPr lang="en-US" sz="11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decimals.</a:t>
            </a:r>
            <a:endPara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B7D4BBD6-286C-4E4E-B7A8-5C08DC47A525}"/>
              </a:ext>
            </a:extLst>
          </xdr:cNvPr>
          <xdr:cNvCxnSpPr>
            <a:stCxn id="2" idx="0"/>
          </xdr:cNvCxnSpPr>
        </xdr:nvCxnSpPr>
        <xdr:spPr>
          <a:xfrm flipV="1">
            <a:off x="2893220" y="3786187"/>
            <a:ext cx="53577" cy="279798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9FC0FD21-B232-4C39-B228-066602CABD0E}"/>
              </a:ext>
            </a:extLst>
          </xdr:cNvPr>
          <xdr:cNvSpPr/>
        </xdr:nvSpPr>
        <xdr:spPr>
          <a:xfrm>
            <a:off x="4071937" y="4054078"/>
            <a:ext cx="2059781" cy="887016"/>
          </a:xfrm>
          <a:prstGeom prst="rect">
            <a:avLst/>
          </a:prstGeom>
          <a:solidFill>
            <a:schemeClr val="bg1"/>
          </a:solidFill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$163.90 is the correct total becasue each of the Tax Deduction amounts has been properly rounded using ROUND.</a:t>
            </a:r>
          </a:p>
        </xdr:txBody>
      </xdr: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05B3F853-CA6F-4682-BF71-7A89F4875272}"/>
              </a:ext>
            </a:extLst>
          </xdr:cNvPr>
          <xdr:cNvCxnSpPr>
            <a:stCxn id="5" idx="0"/>
          </xdr:cNvCxnSpPr>
        </xdr:nvCxnSpPr>
        <xdr:spPr>
          <a:xfrm flipH="1" flipV="1">
            <a:off x="4264874" y="3933353"/>
            <a:ext cx="836953" cy="120725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FC41-3EA0-4655-A3FE-E3C691FE7AB7}">
  <sheetPr>
    <tabColor rgb="FF0000FF"/>
  </sheetPr>
  <dimension ref="A1:I19"/>
  <sheetViews>
    <sheetView tabSelected="1" zoomScale="130" zoomScaleNormal="130" workbookViewId="0">
      <selection activeCell="F2" sqref="F2"/>
    </sheetView>
  </sheetViews>
  <sheetFormatPr defaultRowHeight="15" x14ac:dyDescent="0.25"/>
  <cols>
    <col min="1" max="4" width="8.5703125" customWidth="1"/>
    <col min="5" max="5" width="8.7109375" customWidth="1"/>
    <col min="6" max="6" width="11.85546875" customWidth="1"/>
    <col min="7" max="7" width="2.140625" customWidth="1"/>
    <col min="8" max="8" width="14.7109375" bestFit="1" customWidth="1"/>
    <col min="9" max="9" width="9.140625" customWidth="1"/>
  </cols>
  <sheetData>
    <row r="1" spans="1:9" x14ac:dyDescent="0.25">
      <c r="A1" s="6" t="s">
        <v>13</v>
      </c>
      <c r="E1" s="2" t="s">
        <v>0</v>
      </c>
      <c r="F1" s="2" t="s">
        <v>1</v>
      </c>
    </row>
    <row r="2" spans="1:9" x14ac:dyDescent="0.25">
      <c r="E2" s="3" t="s">
        <v>2</v>
      </c>
      <c r="F2" s="52">
        <v>35060.705600000001</v>
      </c>
    </row>
    <row r="3" spans="1:9" x14ac:dyDescent="0.25">
      <c r="E3" s="3" t="s">
        <v>3</v>
      </c>
      <c r="F3" s="3">
        <v>25341.700700000001</v>
      </c>
    </row>
    <row r="4" spans="1:9" x14ac:dyDescent="0.25">
      <c r="E4" s="3" t="s">
        <v>4</v>
      </c>
      <c r="F4" s="3">
        <v>24428.465899999999</v>
      </c>
    </row>
    <row r="5" spans="1:9" x14ac:dyDescent="0.25">
      <c r="E5" s="3" t="s">
        <v>5</v>
      </c>
      <c r="F5" s="3">
        <v>33965.603900000002</v>
      </c>
    </row>
    <row r="6" spans="1:9" x14ac:dyDescent="0.25">
      <c r="E6" s="3" t="s">
        <v>6</v>
      </c>
      <c r="F6" s="3">
        <v>29549.5599</v>
      </c>
    </row>
    <row r="7" spans="1:9" x14ac:dyDescent="0.25">
      <c r="E7" s="3" t="s">
        <v>7</v>
      </c>
      <c r="F7" s="3">
        <v>25175.6986</v>
      </c>
    </row>
    <row r="8" spans="1:9" x14ac:dyDescent="0.25">
      <c r="E8" s="3" t="s">
        <v>8</v>
      </c>
      <c r="F8" s="3">
        <v>47516.873200000002</v>
      </c>
    </row>
    <row r="10" spans="1:9" x14ac:dyDescent="0.25">
      <c r="B10" s="54"/>
      <c r="C10" s="54"/>
      <c r="D10" s="54"/>
      <c r="E10" s="54"/>
      <c r="F10" s="54"/>
      <c r="G10" s="54"/>
      <c r="H10" s="54"/>
      <c r="I10" s="54"/>
    </row>
    <row r="11" spans="1:9" x14ac:dyDescent="0.25">
      <c r="B11" s="54"/>
      <c r="C11" s="54"/>
      <c r="D11" s="54"/>
      <c r="E11" s="54"/>
      <c r="F11" s="54"/>
      <c r="G11" s="54"/>
      <c r="H11" s="54"/>
      <c r="I11" s="54"/>
    </row>
    <row r="12" spans="1:9" x14ac:dyDescent="0.25">
      <c r="B12" s="54"/>
      <c r="C12" s="54"/>
      <c r="D12" s="54"/>
      <c r="E12" s="54"/>
      <c r="F12" s="54"/>
      <c r="G12" s="54"/>
      <c r="H12" s="54"/>
      <c r="I12" s="54"/>
    </row>
    <row r="13" spans="1:9" x14ac:dyDescent="0.25">
      <c r="B13" s="54"/>
      <c r="C13" s="54"/>
      <c r="D13" s="54"/>
      <c r="E13" s="54"/>
      <c r="F13" s="54"/>
      <c r="G13" s="54"/>
      <c r="H13" s="54"/>
      <c r="I13" s="54"/>
    </row>
    <row r="14" spans="1:9" x14ac:dyDescent="0.25">
      <c r="B14" s="54"/>
      <c r="C14" s="54"/>
      <c r="D14" s="54"/>
      <c r="E14" s="54"/>
      <c r="F14" s="54"/>
      <c r="G14" s="54"/>
      <c r="H14" s="54"/>
      <c r="I14" s="54"/>
    </row>
    <row r="15" spans="1:9" x14ac:dyDescent="0.25">
      <c r="B15" s="54"/>
      <c r="C15" s="54"/>
      <c r="D15" s="54"/>
      <c r="E15" s="54"/>
      <c r="F15" s="54"/>
      <c r="G15" s="54"/>
      <c r="H15" s="54"/>
      <c r="I15" s="54"/>
    </row>
    <row r="16" spans="1:9" x14ac:dyDescent="0.25">
      <c r="B16" s="54"/>
      <c r="C16" s="54"/>
      <c r="D16" s="54"/>
      <c r="E16" s="54"/>
      <c r="F16" s="54"/>
      <c r="G16" s="54"/>
      <c r="H16" s="54"/>
      <c r="I16" s="54"/>
    </row>
    <row r="17" spans="2:9" x14ac:dyDescent="0.25">
      <c r="B17" s="54"/>
      <c r="C17" s="54"/>
      <c r="D17" s="54"/>
      <c r="E17" s="54"/>
      <c r="F17" s="54"/>
      <c r="G17" s="54"/>
      <c r="H17" s="54"/>
      <c r="I17" s="54"/>
    </row>
    <row r="18" spans="2:9" x14ac:dyDescent="0.25">
      <c r="B18" s="54"/>
      <c r="C18" s="54"/>
      <c r="D18" s="54"/>
      <c r="E18" s="54"/>
      <c r="F18" s="54"/>
      <c r="G18" s="54"/>
      <c r="H18" s="54"/>
      <c r="I18" s="54"/>
    </row>
    <row r="19" spans="2:9" x14ac:dyDescent="0.25">
      <c r="B19" s="54"/>
      <c r="C19" s="54"/>
      <c r="D19" s="54"/>
      <c r="E19" s="54"/>
      <c r="F19" s="54"/>
      <c r="G19" s="54"/>
      <c r="H19" s="54"/>
      <c r="I19" s="5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B661-E88A-4D4F-8FC1-DC6E9738F974}">
  <sheetPr>
    <tabColor rgb="FF0000FF"/>
  </sheetPr>
  <dimension ref="A1:E8"/>
  <sheetViews>
    <sheetView zoomScale="160" zoomScaleNormal="160" workbookViewId="0">
      <selection activeCell="B2" sqref="B2"/>
    </sheetView>
  </sheetViews>
  <sheetFormatPr defaultRowHeight="15" x14ac:dyDescent="0.25"/>
  <cols>
    <col min="1" max="1" width="15.5703125" customWidth="1"/>
    <col min="2" max="2" width="8.7109375" customWidth="1"/>
    <col min="3" max="3" width="10.42578125" customWidth="1"/>
    <col min="4" max="4" width="2.140625" customWidth="1"/>
    <col min="5" max="5" width="41.140625" customWidth="1"/>
    <col min="6" max="6" width="9.140625" customWidth="1"/>
  </cols>
  <sheetData>
    <row r="1" spans="1:5" x14ac:dyDescent="0.25">
      <c r="A1" s="2" t="s">
        <v>9</v>
      </c>
      <c r="B1" s="2" t="s">
        <v>10</v>
      </c>
      <c r="C1" s="2" t="s">
        <v>11</v>
      </c>
      <c r="E1" s="2" t="s">
        <v>12</v>
      </c>
    </row>
    <row r="2" spans="1:5" x14ac:dyDescent="0.25">
      <c r="A2" s="52">
        <v>99.5</v>
      </c>
      <c r="B2" s="52">
        <v>2</v>
      </c>
      <c r="C2" s="4">
        <f>A2 *B2</f>
        <v>199</v>
      </c>
      <c r="E2" s="3" t="str">
        <f ca="1">IF(_xlfn.ISFORMULA(C2),"Formula in cell "&amp;ADDRESS(ROW(C2),COLUMN(C2),4)&amp;" is:"&amp;CHAR(10)&amp;_xlfn.FORMULATEXT(C2)&amp;" ("&amp;A1&amp;"*"&amp;B1&amp;")","")</f>
        <v>Formula in cell C2 is:
=A2 *B2 (Price*Quantity)</v>
      </c>
    </row>
    <row r="6" spans="1:5" x14ac:dyDescent="0.25">
      <c r="A6" s="6" t="s">
        <v>14</v>
      </c>
    </row>
    <row r="7" spans="1:5" x14ac:dyDescent="0.25">
      <c r="A7" s="53" t="s">
        <v>92</v>
      </c>
    </row>
    <row r="8" spans="1:5" x14ac:dyDescent="0.25">
      <c r="A8" s="53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F335-454E-45CB-A6E6-53C1C100D2AF}">
  <sheetPr>
    <tabColor rgb="FF0000FF"/>
  </sheetPr>
  <dimension ref="A1:J12"/>
  <sheetViews>
    <sheetView zoomScale="115" zoomScaleNormal="115" workbookViewId="0">
      <selection activeCell="J5" sqref="J5"/>
    </sheetView>
  </sheetViews>
  <sheetFormatPr defaultRowHeight="15" x14ac:dyDescent="0.25"/>
  <cols>
    <col min="5" max="5" width="5.7109375" customWidth="1"/>
    <col min="7" max="7" width="5.7109375" customWidth="1"/>
  </cols>
  <sheetData>
    <row r="1" spans="1:10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</row>
    <row r="2" spans="1:10" ht="21" x14ac:dyDescent="0.35">
      <c r="A2" s="56" t="s">
        <v>94</v>
      </c>
      <c r="B2" s="56"/>
      <c r="C2" s="57"/>
      <c r="D2" s="57"/>
      <c r="E2" s="57"/>
      <c r="F2" s="57"/>
      <c r="G2" s="57"/>
      <c r="H2" s="57"/>
      <c r="I2" s="57"/>
      <c r="J2" s="57"/>
    </row>
    <row r="3" spans="1:10" x14ac:dyDescent="0.25">
      <c r="A3" s="54"/>
      <c r="B3" s="55"/>
      <c r="C3" s="54"/>
      <c r="D3" s="54"/>
      <c r="E3" s="54"/>
      <c r="F3" s="54"/>
      <c r="G3" s="54"/>
      <c r="H3" s="54"/>
      <c r="I3" s="54"/>
      <c r="J3" s="54"/>
    </row>
    <row r="5" spans="1:10" x14ac:dyDescent="0.25">
      <c r="F5" s="1" t="s">
        <v>1</v>
      </c>
      <c r="H5" s="1" t="s">
        <v>1</v>
      </c>
    </row>
    <row r="6" spans="1:10" x14ac:dyDescent="0.25">
      <c r="F6" s="7">
        <v>45</v>
      </c>
      <c r="H6" s="7">
        <v>45</v>
      </c>
    </row>
    <row r="7" spans="1:10" x14ac:dyDescent="0.25">
      <c r="F7" s="7">
        <v>65.2</v>
      </c>
      <c r="H7" s="7">
        <v>65.2</v>
      </c>
    </row>
    <row r="8" spans="1:10" x14ac:dyDescent="0.25">
      <c r="F8" s="7">
        <v>78.989999999999995</v>
      </c>
      <c r="H8" s="7">
        <v>78.989999999999995</v>
      </c>
    </row>
    <row r="9" spans="1:10" x14ac:dyDescent="0.25">
      <c r="F9" s="7">
        <v>100</v>
      </c>
      <c r="H9" s="7">
        <v>100</v>
      </c>
    </row>
    <row r="10" spans="1:10" x14ac:dyDescent="0.25">
      <c r="F10" s="7">
        <v>101</v>
      </c>
      <c r="H10" s="7">
        <v>101</v>
      </c>
    </row>
    <row r="11" spans="1:10" x14ac:dyDescent="0.25">
      <c r="F11" s="7">
        <v>98.2</v>
      </c>
      <c r="H11" s="7">
        <v>98.2</v>
      </c>
    </row>
    <row r="12" spans="1:10" x14ac:dyDescent="0.25">
      <c r="F12" s="7">
        <v>20</v>
      </c>
      <c r="H12" s="7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993A-536F-4E22-B0B9-CA4B097A24EE}">
  <sheetPr>
    <tabColor rgb="FF0000FF"/>
  </sheetPr>
  <dimension ref="B2:P18"/>
  <sheetViews>
    <sheetView zoomScale="150" zoomScaleNormal="150" workbookViewId="0">
      <selection activeCell="F14" sqref="F14"/>
    </sheetView>
  </sheetViews>
  <sheetFormatPr defaultRowHeight="15" x14ac:dyDescent="0.25"/>
  <cols>
    <col min="1" max="1" width="5" customWidth="1"/>
    <col min="2" max="2" width="10.85546875" customWidth="1"/>
    <col min="3" max="3" width="5" customWidth="1"/>
    <col min="4" max="4" width="10.85546875" customWidth="1"/>
    <col min="5" max="5" width="5" customWidth="1"/>
    <col min="6" max="6" width="10.85546875" customWidth="1"/>
    <col min="8" max="8" width="3.85546875" customWidth="1"/>
  </cols>
  <sheetData>
    <row r="2" spans="2:16" x14ac:dyDescent="0.25">
      <c r="B2" s="9" t="s">
        <v>15</v>
      </c>
      <c r="D2" s="9" t="s">
        <v>16</v>
      </c>
      <c r="F2" s="9" t="s">
        <v>17</v>
      </c>
      <c r="H2" s="58"/>
      <c r="I2" s="59" t="s">
        <v>95</v>
      </c>
      <c r="J2" s="60"/>
      <c r="K2" s="60"/>
      <c r="L2" s="60"/>
      <c r="M2" s="60"/>
      <c r="N2" s="60"/>
      <c r="O2" s="60"/>
      <c r="P2" s="61"/>
    </row>
    <row r="3" spans="2:16" x14ac:dyDescent="0.25">
      <c r="B3" s="1" t="s">
        <v>1</v>
      </c>
      <c r="D3" s="1" t="s">
        <v>1</v>
      </c>
      <c r="F3" s="1" t="s">
        <v>1</v>
      </c>
      <c r="H3" s="62"/>
      <c r="I3" s="63" t="s">
        <v>96</v>
      </c>
      <c r="J3" s="54"/>
      <c r="K3" s="54"/>
      <c r="L3" s="54"/>
      <c r="M3" s="54"/>
      <c r="N3" s="54"/>
      <c r="O3" s="54"/>
      <c r="P3" s="64"/>
    </row>
    <row r="4" spans="2:16" x14ac:dyDescent="0.25">
      <c r="B4" s="3">
        <v>45</v>
      </c>
      <c r="D4" s="7">
        <f t="shared" ref="D4:D10" si="0">B4</f>
        <v>45</v>
      </c>
      <c r="F4" s="10">
        <f t="shared" ref="F4:F10" si="1">D4</f>
        <v>45</v>
      </c>
      <c r="H4" s="62"/>
      <c r="I4" s="63" t="s">
        <v>107</v>
      </c>
      <c r="J4" s="54"/>
      <c r="K4" s="54"/>
      <c r="L4" s="54"/>
      <c r="M4" s="54"/>
      <c r="N4" s="54"/>
      <c r="O4" s="54"/>
      <c r="P4" s="64"/>
    </row>
    <row r="5" spans="2:16" x14ac:dyDescent="0.25">
      <c r="B5" s="3">
        <v>0</v>
      </c>
      <c r="D5" s="7">
        <f t="shared" si="0"/>
        <v>0</v>
      </c>
      <c r="F5" s="10">
        <f t="shared" si="1"/>
        <v>0</v>
      </c>
      <c r="H5" s="62"/>
      <c r="I5" s="65" t="s">
        <v>97</v>
      </c>
      <c r="J5" s="54"/>
      <c r="K5" s="54"/>
      <c r="L5" s="54"/>
      <c r="M5" s="54"/>
      <c r="N5" s="54"/>
      <c r="O5" s="54"/>
      <c r="P5" s="64"/>
    </row>
    <row r="6" spans="2:16" x14ac:dyDescent="0.25">
      <c r="B6" s="3">
        <v>78.989999999999995</v>
      </c>
      <c r="D6" s="7">
        <f t="shared" si="0"/>
        <v>78.989999999999995</v>
      </c>
      <c r="F6" s="10">
        <f t="shared" si="1"/>
        <v>78.989999999999995</v>
      </c>
      <c r="H6" s="62"/>
      <c r="I6" s="63" t="s">
        <v>98</v>
      </c>
      <c r="J6" s="54"/>
      <c r="K6" s="54"/>
      <c r="L6" s="54"/>
      <c r="M6" s="54"/>
      <c r="N6" s="54"/>
      <c r="O6" s="54"/>
      <c r="P6" s="64"/>
    </row>
    <row r="7" spans="2:16" x14ac:dyDescent="0.25">
      <c r="B7" s="3">
        <v>100</v>
      </c>
      <c r="D7" s="7">
        <f t="shared" si="0"/>
        <v>100</v>
      </c>
      <c r="F7" s="10">
        <f t="shared" si="1"/>
        <v>100</v>
      </c>
      <c r="H7" s="62"/>
      <c r="I7" s="63" t="s">
        <v>99</v>
      </c>
      <c r="J7" s="54"/>
      <c r="K7" s="54"/>
      <c r="L7" s="54"/>
      <c r="M7" s="54"/>
      <c r="N7" s="54"/>
      <c r="O7" s="54"/>
      <c r="P7" s="64"/>
    </row>
    <row r="8" spans="2:16" x14ac:dyDescent="0.25">
      <c r="B8" s="3">
        <v>-101</v>
      </c>
      <c r="D8" s="7">
        <f t="shared" si="0"/>
        <v>-101</v>
      </c>
      <c r="F8" s="10">
        <f t="shared" si="1"/>
        <v>-101</v>
      </c>
      <c r="H8" s="62"/>
      <c r="I8" s="63" t="s">
        <v>100</v>
      </c>
      <c r="J8" s="54"/>
      <c r="K8" s="54"/>
      <c r="L8" s="54"/>
      <c r="M8" s="54"/>
      <c r="N8" s="54"/>
      <c r="O8" s="54"/>
      <c r="P8" s="64"/>
    </row>
    <row r="9" spans="2:16" x14ac:dyDescent="0.25">
      <c r="B9" s="3">
        <v>98.2</v>
      </c>
      <c r="D9" s="7">
        <f t="shared" si="0"/>
        <v>98.2</v>
      </c>
      <c r="F9" s="10">
        <f t="shared" si="1"/>
        <v>98.2</v>
      </c>
      <c r="H9" s="62"/>
      <c r="I9" s="63" t="s">
        <v>101</v>
      </c>
      <c r="J9" s="54"/>
      <c r="K9" s="54"/>
      <c r="L9" s="54"/>
      <c r="M9" s="54"/>
      <c r="N9" s="54"/>
      <c r="O9" s="54"/>
      <c r="P9" s="64"/>
    </row>
    <row r="10" spans="2:16" x14ac:dyDescent="0.25">
      <c r="B10" s="3">
        <v>20</v>
      </c>
      <c r="D10" s="7">
        <f t="shared" si="0"/>
        <v>20</v>
      </c>
      <c r="F10" s="10">
        <f t="shared" si="1"/>
        <v>20</v>
      </c>
      <c r="H10" s="62"/>
      <c r="I10" s="65" t="s">
        <v>102</v>
      </c>
      <c r="J10" s="54"/>
      <c r="K10" s="54"/>
      <c r="L10" s="54"/>
      <c r="M10" s="54"/>
      <c r="N10" s="54"/>
      <c r="O10" s="54"/>
      <c r="P10" s="64"/>
    </row>
    <row r="11" spans="2:16" x14ac:dyDescent="0.25">
      <c r="H11" s="62"/>
      <c r="I11" s="63" t="s">
        <v>103</v>
      </c>
      <c r="J11" s="54"/>
      <c r="K11" s="54"/>
      <c r="L11" s="54"/>
      <c r="M11" s="54"/>
      <c r="N11" s="54"/>
      <c r="O11" s="54"/>
      <c r="P11" s="64"/>
    </row>
    <row r="12" spans="2:16" x14ac:dyDescent="0.25">
      <c r="H12" s="62"/>
      <c r="I12" s="63" t="s">
        <v>104</v>
      </c>
      <c r="J12" s="54"/>
      <c r="K12" s="54"/>
      <c r="L12" s="54"/>
      <c r="M12" s="54"/>
      <c r="N12" s="54"/>
      <c r="O12" s="54"/>
      <c r="P12" s="64"/>
    </row>
    <row r="13" spans="2:16" x14ac:dyDescent="0.25">
      <c r="H13" s="62"/>
      <c r="I13" s="63" t="s">
        <v>105</v>
      </c>
      <c r="J13" s="54"/>
      <c r="K13" s="54"/>
      <c r="L13" s="54"/>
      <c r="M13" s="54"/>
      <c r="N13" s="54"/>
      <c r="O13" s="54"/>
      <c r="P13" s="64"/>
    </row>
    <row r="14" spans="2:16" x14ac:dyDescent="0.25">
      <c r="H14" s="62"/>
      <c r="I14" s="63" t="s">
        <v>106</v>
      </c>
      <c r="J14" s="54"/>
      <c r="K14" s="54"/>
      <c r="L14" s="54"/>
      <c r="M14" s="54"/>
      <c r="N14" s="54"/>
      <c r="O14" s="54"/>
      <c r="P14" s="64"/>
    </row>
    <row r="15" spans="2:16" x14ac:dyDescent="0.25">
      <c r="H15" s="66"/>
      <c r="I15" s="67"/>
      <c r="J15" s="67"/>
      <c r="K15" s="67"/>
      <c r="L15" s="67"/>
      <c r="M15" s="67"/>
      <c r="N15" s="67"/>
      <c r="O15" s="67"/>
      <c r="P15" s="68"/>
    </row>
    <row r="18" spans="9:9" x14ac:dyDescent="0.25">
      <c r="I18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CE05-605D-4C37-90F6-0BF9660221E9}">
  <sheetPr>
    <tabColor rgb="FF0000FF"/>
  </sheetPr>
  <dimension ref="A1:L17"/>
  <sheetViews>
    <sheetView zoomScale="172" zoomScaleNormal="172" workbookViewId="0">
      <selection activeCell="H3" sqref="H3"/>
    </sheetView>
  </sheetViews>
  <sheetFormatPr defaultRowHeight="15" x14ac:dyDescent="0.25"/>
  <cols>
    <col min="7" max="7" width="13.28515625" customWidth="1"/>
  </cols>
  <sheetData>
    <row r="1" spans="1:12" x14ac:dyDescent="0.25">
      <c r="A1" s="70" t="s">
        <v>18</v>
      </c>
      <c r="B1" s="71">
        <v>9.5000000000000001E-2</v>
      </c>
      <c r="D1" t="str">
        <f t="shared" ref="D1:D2" si="0">B1*100&amp;" pennies for every $1."</f>
        <v>9.5 pennies for every $1.</v>
      </c>
      <c r="G1" t="s">
        <v>24</v>
      </c>
    </row>
    <row r="2" spans="1:12" x14ac:dyDescent="0.25">
      <c r="A2" s="12" t="s">
        <v>18</v>
      </c>
      <c r="B2" s="85">
        <v>9.5000000000000001E-2</v>
      </c>
      <c r="D2" t="str">
        <f t="shared" si="0"/>
        <v>9.5 pennies for every $1.</v>
      </c>
    </row>
    <row r="3" spans="1:12" x14ac:dyDescent="0.25">
      <c r="B3" s="86"/>
      <c r="G3" s="12" t="s">
        <v>18</v>
      </c>
      <c r="H3" s="80">
        <v>1.4500000000000001E-2</v>
      </c>
    </row>
    <row r="4" spans="1:12" x14ac:dyDescent="0.25">
      <c r="B4" s="86"/>
      <c r="G4" s="2" t="s">
        <v>27</v>
      </c>
      <c r="H4" s="3">
        <v>1</v>
      </c>
      <c r="J4" t="s">
        <v>29</v>
      </c>
    </row>
    <row r="5" spans="1:12" x14ac:dyDescent="0.25">
      <c r="A5" s="12" t="s">
        <v>18</v>
      </c>
      <c r="B5" s="13">
        <v>0.03</v>
      </c>
      <c r="D5" t="str">
        <f t="shared" ref="D5:D6" si="1">B5*100&amp;" pennies for every $1."</f>
        <v>3 pennies for every $1.</v>
      </c>
      <c r="G5" s="2" t="s">
        <v>28</v>
      </c>
      <c r="H5" s="4">
        <f>H4*H3</f>
        <v>1.4500000000000001E-2</v>
      </c>
      <c r="J5" t="s">
        <v>108</v>
      </c>
    </row>
    <row r="6" spans="1:12" x14ac:dyDescent="0.25">
      <c r="A6" s="12" t="s">
        <v>18</v>
      </c>
      <c r="B6" s="3">
        <v>0.03</v>
      </c>
      <c r="D6" t="str">
        <f t="shared" si="1"/>
        <v>3 pennies for every $1.</v>
      </c>
      <c r="H6" s="81"/>
      <c r="J6" t="s">
        <v>109</v>
      </c>
    </row>
    <row r="8" spans="1:12" x14ac:dyDescent="0.25">
      <c r="A8" s="72" t="s">
        <v>19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x14ac:dyDescent="0.25">
      <c r="A9" s="62" t="s">
        <v>25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64"/>
    </row>
    <row r="10" spans="1:12" x14ac:dyDescent="0.25">
      <c r="A10" s="62" t="s">
        <v>26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64"/>
    </row>
    <row r="11" spans="1:12" x14ac:dyDescent="0.25">
      <c r="A11" s="62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64"/>
    </row>
    <row r="12" spans="1:12" x14ac:dyDescent="0.25">
      <c r="A12" s="62"/>
      <c r="B12" s="73" t="s">
        <v>21</v>
      </c>
      <c r="C12" s="54"/>
      <c r="D12" s="54"/>
      <c r="E12" s="54"/>
      <c r="F12" s="54"/>
      <c r="G12" s="54"/>
      <c r="H12" s="54"/>
      <c r="I12" s="54"/>
      <c r="J12" s="54"/>
      <c r="K12" s="54"/>
      <c r="L12" s="64"/>
    </row>
    <row r="13" spans="1:12" x14ac:dyDescent="0.25">
      <c r="A13" s="62"/>
      <c r="B13" s="73" t="s">
        <v>20</v>
      </c>
      <c r="C13" s="54"/>
      <c r="D13" s="54"/>
      <c r="E13" s="54"/>
      <c r="F13" s="54"/>
      <c r="G13" s="54"/>
      <c r="H13" s="54"/>
      <c r="I13" s="54"/>
      <c r="J13" s="54"/>
      <c r="K13" s="54"/>
      <c r="L13" s="64"/>
    </row>
    <row r="14" spans="1:12" x14ac:dyDescent="0.25">
      <c r="A14" s="62"/>
      <c r="B14" s="73" t="s">
        <v>22</v>
      </c>
      <c r="C14" s="54"/>
      <c r="D14" s="54"/>
      <c r="E14" s="54"/>
      <c r="F14" s="54"/>
      <c r="G14" s="54"/>
      <c r="H14" s="54"/>
      <c r="I14" s="54"/>
      <c r="J14" s="54"/>
      <c r="K14" s="54"/>
      <c r="L14" s="64"/>
    </row>
    <row r="15" spans="1:12" x14ac:dyDescent="0.25">
      <c r="A15" s="6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64"/>
    </row>
    <row r="16" spans="1:12" x14ac:dyDescent="0.25">
      <c r="A16" s="62"/>
      <c r="B16" s="73" t="s">
        <v>23</v>
      </c>
      <c r="C16" s="54"/>
      <c r="D16" s="54"/>
      <c r="E16" s="54"/>
      <c r="F16" s="54"/>
      <c r="G16" s="54"/>
      <c r="H16" s="54"/>
      <c r="I16" s="54"/>
      <c r="J16" s="54"/>
      <c r="K16" s="54"/>
      <c r="L16" s="64"/>
    </row>
    <row r="17" spans="1:12" x14ac:dyDescent="0.2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8"/>
    </row>
  </sheetData>
  <conditionalFormatting sqref="J5:J6">
    <cfRule type="expression" dxfId="0" priority="1">
      <formula>ISBLANK($H$5)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323E-BFDC-48AD-BA1E-C5B4D13753C7}">
  <sheetPr>
    <tabColor rgb="FF0000FF"/>
  </sheetPr>
  <dimension ref="B1:G20"/>
  <sheetViews>
    <sheetView showGridLines="0" zoomScale="150" zoomScaleNormal="150" workbookViewId="0">
      <selection activeCell="G15" sqref="G15"/>
    </sheetView>
  </sheetViews>
  <sheetFormatPr defaultRowHeight="15" x14ac:dyDescent="0.25"/>
  <cols>
    <col min="1" max="1" width="3.7109375" customWidth="1"/>
    <col min="2" max="2" width="12.42578125" customWidth="1"/>
    <col min="3" max="3" width="16.42578125" customWidth="1"/>
    <col min="4" max="4" width="13.42578125" customWidth="1"/>
    <col min="5" max="5" width="17.7109375" customWidth="1"/>
    <col min="6" max="6" width="18.28515625" customWidth="1"/>
    <col min="7" max="7" width="17.7109375" customWidth="1"/>
    <col min="9" max="9" width="11.85546875" customWidth="1"/>
  </cols>
  <sheetData>
    <row r="1" spans="2:7" ht="15.75" thickBot="1" x14ac:dyDescent="0.3"/>
    <row r="2" spans="2:7" x14ac:dyDescent="0.25">
      <c r="B2" s="30" t="s">
        <v>30</v>
      </c>
      <c r="C2" s="31"/>
      <c r="D2" s="31"/>
      <c r="E2" s="31"/>
      <c r="F2" s="31"/>
      <c r="G2" s="74"/>
    </row>
    <row r="3" spans="2:7" x14ac:dyDescent="0.25">
      <c r="B3" s="32" t="s">
        <v>31</v>
      </c>
      <c r="C3" s="33"/>
      <c r="D3" s="33"/>
      <c r="E3" s="33"/>
      <c r="F3" s="33"/>
      <c r="G3" s="75"/>
    </row>
    <row r="4" spans="2:7" x14ac:dyDescent="0.25">
      <c r="B4" s="34" t="s">
        <v>32</v>
      </c>
      <c r="C4" s="33"/>
      <c r="D4" s="33"/>
      <c r="E4" s="33"/>
      <c r="F4" s="33"/>
      <c r="G4" s="75"/>
    </row>
    <row r="5" spans="2:7" x14ac:dyDescent="0.25">
      <c r="B5" s="35" t="s">
        <v>33</v>
      </c>
      <c r="C5" s="33"/>
      <c r="D5" s="33"/>
      <c r="E5" s="33"/>
      <c r="F5" s="33"/>
      <c r="G5" s="75"/>
    </row>
    <row r="6" spans="2:7" x14ac:dyDescent="0.25">
      <c r="B6" s="35" t="s">
        <v>34</v>
      </c>
      <c r="C6" s="33"/>
      <c r="D6" s="33"/>
      <c r="E6" s="33"/>
      <c r="F6" s="33"/>
      <c r="G6" s="75"/>
    </row>
    <row r="7" spans="2:7" x14ac:dyDescent="0.25">
      <c r="B7" s="34"/>
      <c r="C7" s="33"/>
      <c r="D7" s="33"/>
      <c r="E7" s="33"/>
      <c r="F7" s="33"/>
      <c r="G7" s="75"/>
    </row>
    <row r="8" spans="2:7" ht="21" x14ac:dyDescent="0.35">
      <c r="B8" s="34">
        <v>52.727624999999996</v>
      </c>
      <c r="C8" s="36" t="s">
        <v>37</v>
      </c>
      <c r="D8" s="36" t="s">
        <v>38</v>
      </c>
      <c r="E8" s="36" t="s">
        <v>111</v>
      </c>
      <c r="F8" s="33">
        <v>52.73</v>
      </c>
      <c r="G8" s="75"/>
    </row>
    <row r="9" spans="2:7" ht="21" x14ac:dyDescent="0.35">
      <c r="B9" s="34">
        <v>52.724584</v>
      </c>
      <c r="C9" s="36" t="s">
        <v>35</v>
      </c>
      <c r="D9" s="36" t="s">
        <v>36</v>
      </c>
      <c r="E9" s="36" t="s">
        <v>112</v>
      </c>
      <c r="F9" s="33">
        <v>52.72</v>
      </c>
      <c r="G9" s="75"/>
    </row>
    <row r="10" spans="2:7" x14ac:dyDescent="0.25">
      <c r="B10" s="34"/>
      <c r="C10" s="33"/>
      <c r="D10" s="33"/>
      <c r="E10" s="33"/>
      <c r="F10" s="33"/>
      <c r="G10" s="75"/>
    </row>
    <row r="11" spans="2:7" ht="15.75" thickBot="1" x14ac:dyDescent="0.3">
      <c r="B11" s="37" t="s">
        <v>39</v>
      </c>
      <c r="C11" s="38"/>
      <c r="D11" s="38"/>
      <c r="E11" s="38"/>
      <c r="F11" s="38"/>
      <c r="G11" s="76"/>
    </row>
    <row r="13" spans="2:7" ht="45" x14ac:dyDescent="0.25">
      <c r="B13" s="26" t="s">
        <v>42</v>
      </c>
      <c r="C13" s="44"/>
      <c r="D13" s="45"/>
      <c r="E13" s="42" t="s">
        <v>72</v>
      </c>
      <c r="F13" s="42" t="s">
        <v>73</v>
      </c>
      <c r="G13" s="42" t="s">
        <v>74</v>
      </c>
    </row>
    <row r="14" spans="2:7" x14ac:dyDescent="0.25">
      <c r="B14" s="2" t="s">
        <v>0</v>
      </c>
      <c r="C14" s="2" t="s">
        <v>18</v>
      </c>
      <c r="D14" s="2" t="s">
        <v>43</v>
      </c>
      <c r="E14" s="41" t="s">
        <v>44</v>
      </c>
      <c r="F14" s="41" t="s">
        <v>44</v>
      </c>
      <c r="G14" s="41" t="s">
        <v>44</v>
      </c>
    </row>
    <row r="15" spans="2:7" x14ac:dyDescent="0.25">
      <c r="B15" s="3" t="s">
        <v>45</v>
      </c>
      <c r="C15" s="3">
        <v>7.6499999999999999E-2</v>
      </c>
      <c r="D15" s="3">
        <v>689.25</v>
      </c>
      <c r="E15" s="43">
        <f>$D$15*$C$15</f>
        <v>52.727624999999996</v>
      </c>
      <c r="F15" s="39">
        <f>$D$15*$C$15</f>
        <v>52.727624999999996</v>
      </c>
      <c r="G15" s="43">
        <f>ROUND($D$15*$C$15,2)</f>
        <v>52.73</v>
      </c>
    </row>
    <row r="16" spans="2:7" x14ac:dyDescent="0.25">
      <c r="E16" s="5"/>
      <c r="F16" s="5"/>
      <c r="G16" s="5"/>
    </row>
    <row r="17" spans="5:5" x14ac:dyDescent="0.25">
      <c r="E17" s="11" t="s">
        <v>117</v>
      </c>
    </row>
    <row r="18" spans="5:5" x14ac:dyDescent="0.25">
      <c r="E18" t="s">
        <v>48</v>
      </c>
    </row>
    <row r="19" spans="5:5" x14ac:dyDescent="0.25">
      <c r="E19" t="s">
        <v>49</v>
      </c>
    </row>
    <row r="20" spans="5:5" x14ac:dyDescent="0.25">
      <c r="E20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EF46-42F0-43A4-B63C-D7E768B7821A}">
  <sheetPr>
    <tabColor rgb="FF0000FF"/>
  </sheetPr>
  <dimension ref="A1:H42"/>
  <sheetViews>
    <sheetView topLeftCell="A17" zoomScale="130" zoomScaleNormal="130" workbookViewId="0">
      <selection activeCell="B39" sqref="B39"/>
    </sheetView>
  </sheetViews>
  <sheetFormatPr defaultRowHeight="15" x14ac:dyDescent="0.25"/>
  <cols>
    <col min="1" max="2" width="17.28515625" customWidth="1"/>
    <col min="3" max="3" width="18.85546875" customWidth="1"/>
    <col min="4" max="4" width="17.28515625" customWidth="1"/>
    <col min="5" max="5" width="7.28515625" customWidth="1"/>
    <col min="6" max="6" width="19.85546875" customWidth="1"/>
    <col min="8" max="8" width="14.7109375" customWidth="1"/>
  </cols>
  <sheetData>
    <row r="1" spans="1:8" x14ac:dyDescent="0.25">
      <c r="A1" s="69" t="s">
        <v>75</v>
      </c>
      <c r="B1" s="54"/>
      <c r="C1" s="54"/>
      <c r="D1" s="69" t="s">
        <v>65</v>
      </c>
      <c r="E1" s="54"/>
      <c r="F1" s="54"/>
      <c r="G1" s="54"/>
      <c r="H1" s="54"/>
    </row>
    <row r="2" spans="1:8" x14ac:dyDescent="0.25">
      <c r="A2" s="54" t="s">
        <v>62</v>
      </c>
      <c r="B2" s="54"/>
      <c r="C2" s="54"/>
      <c r="D2" s="54" t="s">
        <v>66</v>
      </c>
      <c r="E2" s="54"/>
      <c r="F2" s="54"/>
      <c r="G2" s="54"/>
      <c r="H2" s="54"/>
    </row>
    <row r="3" spans="1:8" x14ac:dyDescent="0.25">
      <c r="A3" s="54" t="s">
        <v>64</v>
      </c>
      <c r="B3" s="54"/>
      <c r="C3" s="54"/>
      <c r="D3" s="54"/>
      <c r="E3" s="54"/>
      <c r="F3" s="54"/>
      <c r="G3" s="54"/>
      <c r="H3" s="54"/>
    </row>
    <row r="4" spans="1:8" x14ac:dyDescent="0.25">
      <c r="A4" s="54" t="s">
        <v>63</v>
      </c>
      <c r="B4" s="54"/>
      <c r="C4" s="54"/>
      <c r="D4" s="54"/>
      <c r="E4" s="54"/>
      <c r="F4" s="54"/>
      <c r="G4" s="54"/>
      <c r="H4" s="54"/>
    </row>
    <row r="5" spans="1:8" x14ac:dyDescent="0.25">
      <c r="A5" s="54"/>
      <c r="B5" s="54"/>
      <c r="C5" s="54"/>
      <c r="D5" s="54"/>
      <c r="E5" s="54"/>
      <c r="F5" s="54"/>
      <c r="G5" s="54"/>
      <c r="H5" s="54"/>
    </row>
    <row r="6" spans="1:8" x14ac:dyDescent="0.25">
      <c r="A6" s="69" t="s">
        <v>117</v>
      </c>
      <c r="B6" s="54"/>
      <c r="C6" s="54"/>
      <c r="D6" s="77" t="s">
        <v>67</v>
      </c>
      <c r="E6" s="54"/>
      <c r="F6" s="54"/>
      <c r="G6" s="54"/>
      <c r="H6" s="54"/>
    </row>
    <row r="7" spans="1:8" x14ac:dyDescent="0.25">
      <c r="A7" s="54" t="s">
        <v>48</v>
      </c>
      <c r="B7" s="54"/>
      <c r="C7" s="54"/>
      <c r="D7" s="73" t="s">
        <v>40</v>
      </c>
      <c r="E7" s="54"/>
      <c r="F7" s="54"/>
      <c r="G7" s="54"/>
      <c r="H7" s="54"/>
    </row>
    <row r="8" spans="1:8" x14ac:dyDescent="0.25">
      <c r="A8" s="54" t="s">
        <v>49</v>
      </c>
      <c r="B8" s="54"/>
      <c r="C8" s="54"/>
      <c r="D8" s="73" t="s">
        <v>41</v>
      </c>
      <c r="E8" s="54"/>
      <c r="F8" s="54"/>
      <c r="G8" s="54"/>
      <c r="H8" s="54"/>
    </row>
    <row r="9" spans="1:8" x14ac:dyDescent="0.25">
      <c r="A9" s="54" t="s">
        <v>50</v>
      </c>
      <c r="B9" s="54"/>
      <c r="C9" s="54"/>
      <c r="D9" s="73" t="s">
        <v>71</v>
      </c>
      <c r="E9" s="54"/>
      <c r="F9" s="54"/>
      <c r="G9" s="54"/>
      <c r="H9" s="54"/>
    </row>
    <row r="10" spans="1:8" x14ac:dyDescent="0.25">
      <c r="A10" s="54"/>
      <c r="B10" s="54"/>
      <c r="C10" s="54"/>
      <c r="D10" s="54"/>
      <c r="E10" s="54"/>
      <c r="F10" s="54"/>
      <c r="G10" s="54"/>
      <c r="H10" s="54"/>
    </row>
    <row r="12" spans="1:8" x14ac:dyDescent="0.25">
      <c r="A12" s="6" t="s">
        <v>42</v>
      </c>
      <c r="C12" s="9" t="s">
        <v>69</v>
      </c>
      <c r="D12" s="46" t="s">
        <v>68</v>
      </c>
    </row>
    <row r="13" spans="1:8" x14ac:dyDescent="0.25">
      <c r="A13" s="2" t="s">
        <v>0</v>
      </c>
      <c r="B13" s="2" t="s">
        <v>114</v>
      </c>
      <c r="C13" s="41" t="s">
        <v>44</v>
      </c>
      <c r="D13" s="41" t="s">
        <v>44</v>
      </c>
      <c r="F13" s="41" t="s">
        <v>110</v>
      </c>
    </row>
    <row r="14" spans="1:8" ht="19.5" customHeight="1" x14ac:dyDescent="0.25">
      <c r="A14" s="3" t="s">
        <v>45</v>
      </c>
      <c r="B14" s="3">
        <v>689.25</v>
      </c>
      <c r="C14" s="39" cm="1">
        <f t="array" ref="C14:C16">B14:B16*B19</f>
        <v>52.727624999999996</v>
      </c>
      <c r="D14" s="39" cm="1">
        <f t="array" ref="D14:D16">ROUND(B14:B16*B19,2)</f>
        <v>52.73</v>
      </c>
      <c r="F14" s="79">
        <v>52.73</v>
      </c>
    </row>
    <row r="15" spans="1:8" ht="19.5" customHeight="1" x14ac:dyDescent="0.25">
      <c r="A15" s="3" t="s">
        <v>46</v>
      </c>
      <c r="B15" s="3">
        <v>765.71</v>
      </c>
      <c r="C15" s="39">
        <v>58.576815000000003</v>
      </c>
      <c r="D15" s="39">
        <v>58.58</v>
      </c>
      <c r="F15" s="79">
        <v>58.58</v>
      </c>
    </row>
    <row r="16" spans="1:8" ht="19.5" customHeight="1" thickBot="1" x14ac:dyDescent="0.3">
      <c r="A16" s="3" t="s">
        <v>47</v>
      </c>
      <c r="B16" s="3">
        <v>687.43</v>
      </c>
      <c r="C16" s="39">
        <v>52.588394999999998</v>
      </c>
      <c r="D16" s="39">
        <v>52.59</v>
      </c>
      <c r="F16" s="79">
        <v>52.59</v>
      </c>
    </row>
    <row r="17" spans="1:8" ht="19.5" customHeight="1" thickBot="1" x14ac:dyDescent="0.3">
      <c r="B17" s="6" t="s">
        <v>11</v>
      </c>
      <c r="C17" s="40">
        <f>SUM(_xlfn.ANCHORARRAY(C14))</f>
        <v>163.89283499999999</v>
      </c>
      <c r="D17" s="40">
        <f>SUM(_xlfn.ANCHORARRAY(D14))</f>
        <v>163.9</v>
      </c>
      <c r="F17" s="78">
        <f>SUM(F14:F16)</f>
        <v>163.9</v>
      </c>
    </row>
    <row r="18" spans="1:8" ht="15.75" thickTop="1" x14ac:dyDescent="0.25"/>
    <row r="19" spans="1:8" x14ac:dyDescent="0.25">
      <c r="A19" s="12" t="s">
        <v>18</v>
      </c>
      <c r="B19" s="3">
        <v>7.6499999999999999E-2</v>
      </c>
    </row>
    <row r="22" spans="1:8" x14ac:dyDescent="0.25">
      <c r="A22" s="6" t="s">
        <v>76</v>
      </c>
    </row>
    <row r="23" spans="1:8" x14ac:dyDescent="0.25">
      <c r="A23" s="26" t="s">
        <v>118</v>
      </c>
      <c r="B23" s="82">
        <v>1025</v>
      </c>
      <c r="C23" s="27"/>
      <c r="D23" s="28"/>
      <c r="H23" t="s">
        <v>119</v>
      </c>
    </row>
    <row r="24" spans="1:8" x14ac:dyDescent="0.25">
      <c r="A24" s="18" t="s">
        <v>51</v>
      </c>
      <c r="B24" s="18" t="s">
        <v>113</v>
      </c>
      <c r="C24" s="18" t="s">
        <v>52</v>
      </c>
      <c r="D24" s="18" t="s">
        <v>11</v>
      </c>
      <c r="H24" s="18" t="s">
        <v>11</v>
      </c>
    </row>
    <row r="25" spans="1:8" x14ac:dyDescent="0.25">
      <c r="A25" s="3" t="s">
        <v>53</v>
      </c>
      <c r="B25" s="3">
        <v>5.1299999999999998E-2</v>
      </c>
      <c r="C25" s="3">
        <v>31</v>
      </c>
      <c r="D25" s="29" cm="1">
        <f t="array" ref="D25:D27">ROUND(B25:B27*C25:C27,2)</f>
        <v>1.59</v>
      </c>
      <c r="H25" s="29">
        <f>C25*B25</f>
        <v>1.5903</v>
      </c>
    </row>
    <row r="26" spans="1:8" x14ac:dyDescent="0.25">
      <c r="A26" s="3" t="s">
        <v>70</v>
      </c>
      <c r="B26" s="3">
        <v>7.7499999999999999E-2</v>
      </c>
      <c r="C26" s="3">
        <v>21</v>
      </c>
      <c r="D26" s="29">
        <v>1.63</v>
      </c>
      <c r="H26" s="29">
        <f>C26*B26</f>
        <v>1.6274999999999999</v>
      </c>
    </row>
    <row r="27" spans="1:8" x14ac:dyDescent="0.25">
      <c r="A27" s="3" t="s">
        <v>54</v>
      </c>
      <c r="B27" s="3">
        <v>1.0569999999999999</v>
      </c>
      <c r="C27" s="3">
        <v>11</v>
      </c>
      <c r="D27" s="29">
        <v>11.63</v>
      </c>
      <c r="H27" s="29">
        <f>C27*B27</f>
        <v>11.626999999999999</v>
      </c>
    </row>
    <row r="28" spans="1:8" x14ac:dyDescent="0.25">
      <c r="A28" s="19"/>
      <c r="B28" s="20"/>
      <c r="C28" s="18" t="s">
        <v>55</v>
      </c>
      <c r="D28" s="7">
        <f>SUM(_xlfn.ANCHORARRAY(D25))</f>
        <v>14.850000000000001</v>
      </c>
      <c r="F28" s="12" t="s">
        <v>18</v>
      </c>
      <c r="H28" s="7">
        <f>SUM(H25:H27)</f>
        <v>14.844799999999999</v>
      </c>
    </row>
    <row r="29" spans="1:8" x14ac:dyDescent="0.25">
      <c r="A29" s="21"/>
      <c r="B29" s="22"/>
      <c r="C29" s="18" t="s">
        <v>56</v>
      </c>
      <c r="D29" s="29">
        <f>ROUND(D28*F29,2)</f>
        <v>1.45</v>
      </c>
      <c r="F29" s="13">
        <v>9.7500000000000003E-2</v>
      </c>
    </row>
    <row r="30" spans="1:8" x14ac:dyDescent="0.25">
      <c r="A30" s="23"/>
      <c r="B30" s="24"/>
      <c r="C30" s="18" t="s">
        <v>11</v>
      </c>
      <c r="D30" s="7">
        <f>SUM(D28:D29)</f>
        <v>16.3</v>
      </c>
    </row>
    <row r="31" spans="1:8" x14ac:dyDescent="0.25">
      <c r="A31" s="25" t="s">
        <v>57</v>
      </c>
      <c r="B31" s="25"/>
      <c r="C31" s="25"/>
      <c r="D31" s="25"/>
    </row>
    <row r="33" spans="1:4" x14ac:dyDescent="0.25">
      <c r="A33" t="s">
        <v>58</v>
      </c>
    </row>
    <row r="34" spans="1:4" x14ac:dyDescent="0.25">
      <c r="A34" t="s">
        <v>59</v>
      </c>
    </row>
    <row r="36" spans="1:4" x14ac:dyDescent="0.25">
      <c r="A36" t="s">
        <v>77</v>
      </c>
    </row>
    <row r="37" spans="1:4" ht="30" x14ac:dyDescent="0.25">
      <c r="A37" s="2" t="s">
        <v>60</v>
      </c>
      <c r="B37" s="15" t="s">
        <v>61</v>
      </c>
      <c r="D37" s="12" t="s">
        <v>18</v>
      </c>
    </row>
    <row r="38" spans="1:4" x14ac:dyDescent="0.25">
      <c r="A38" s="16">
        <v>2345.98</v>
      </c>
      <c r="B38" s="17" cm="1">
        <f t="array" ref="B38:B41">ROUND(A38:A41*D38,0)</f>
        <v>364</v>
      </c>
      <c r="D38" s="3">
        <v>0.155</v>
      </c>
    </row>
    <row r="39" spans="1:4" x14ac:dyDescent="0.25">
      <c r="A39" s="16">
        <v>345.49</v>
      </c>
      <c r="B39" s="17">
        <v>54</v>
      </c>
    </row>
    <row r="40" spans="1:4" x14ac:dyDescent="0.25">
      <c r="A40" s="16">
        <v>235.8</v>
      </c>
      <c r="B40" s="17">
        <v>37</v>
      </c>
    </row>
    <row r="41" spans="1:4" x14ac:dyDescent="0.25">
      <c r="A41" s="16">
        <v>2541.12</v>
      </c>
      <c r="B41" s="17">
        <v>394</v>
      </c>
    </row>
    <row r="42" spans="1:4" x14ac:dyDescent="0.25">
      <c r="A42" s="83" t="s">
        <v>11</v>
      </c>
      <c r="B42" s="84">
        <f>SUM(_xlfn.ANCHORARRAY(B38))</f>
        <v>849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44D3-D2E0-4A8B-8483-4ABEEB72A64F}">
  <sheetPr>
    <tabColor rgb="FF0000FF"/>
  </sheetPr>
  <dimension ref="A1:H17"/>
  <sheetViews>
    <sheetView zoomScale="170" zoomScaleNormal="170" workbookViewId="0">
      <selection activeCell="C18" sqref="C18"/>
    </sheetView>
  </sheetViews>
  <sheetFormatPr defaultRowHeight="15" x14ac:dyDescent="0.25"/>
  <cols>
    <col min="1" max="1" width="12.140625" customWidth="1"/>
    <col min="2" max="2" width="10.85546875" customWidth="1"/>
    <col min="3" max="3" width="13.7109375" bestFit="1" customWidth="1"/>
  </cols>
  <sheetData>
    <row r="1" spans="1:8" x14ac:dyDescent="0.25">
      <c r="A1" s="49" t="s">
        <v>87</v>
      </c>
      <c r="B1" s="50"/>
      <c r="C1" s="50"/>
      <c r="D1" s="50"/>
      <c r="E1" s="50"/>
      <c r="F1" s="50"/>
      <c r="G1" s="50"/>
      <c r="H1" s="51"/>
    </row>
    <row r="3" spans="1:8" x14ac:dyDescent="0.25">
      <c r="A3" s="2" t="s">
        <v>0</v>
      </c>
      <c r="B3" s="2" t="s">
        <v>43</v>
      </c>
      <c r="C3" s="2" t="s">
        <v>44</v>
      </c>
      <c r="E3" s="12" t="s">
        <v>18</v>
      </c>
    </row>
    <row r="4" spans="1:8" x14ac:dyDescent="0.25">
      <c r="A4" s="3" t="s">
        <v>6</v>
      </c>
      <c r="B4" s="3">
        <v>5262.26</v>
      </c>
      <c r="C4" s="4" cm="1">
        <f t="array" ref="C4:C16">ROUND(B4:B16*E4,2)</f>
        <v>77.62</v>
      </c>
      <c r="E4" s="48">
        <v>1.4749999999999999E-2</v>
      </c>
    </row>
    <row r="5" spans="1:8" x14ac:dyDescent="0.25">
      <c r="A5" s="3" t="s">
        <v>78</v>
      </c>
      <c r="B5" s="3">
        <v>5531.85</v>
      </c>
      <c r="C5" s="4">
        <v>81.59</v>
      </c>
    </row>
    <row r="6" spans="1:8" x14ac:dyDescent="0.25">
      <c r="A6" s="3" t="s">
        <v>79</v>
      </c>
      <c r="B6" s="3">
        <v>5867.76</v>
      </c>
      <c r="C6" s="4">
        <v>86.55</v>
      </c>
    </row>
    <row r="7" spans="1:8" x14ac:dyDescent="0.25">
      <c r="A7" s="3" t="s">
        <v>80</v>
      </c>
      <c r="B7" s="3">
        <v>4976.26</v>
      </c>
      <c r="C7" s="4">
        <v>73.400000000000006</v>
      </c>
    </row>
    <row r="8" spans="1:8" x14ac:dyDescent="0.25">
      <c r="A8" s="3" t="s">
        <v>2</v>
      </c>
      <c r="B8" s="3">
        <v>5938.27</v>
      </c>
      <c r="C8" s="4">
        <v>87.59</v>
      </c>
    </row>
    <row r="9" spans="1:8" x14ac:dyDescent="0.25">
      <c r="A9" s="3" t="s">
        <v>78</v>
      </c>
      <c r="B9" s="3">
        <v>4290.34</v>
      </c>
      <c r="C9" s="4">
        <v>63.28</v>
      </c>
    </row>
    <row r="10" spans="1:8" x14ac:dyDescent="0.25">
      <c r="A10" s="3" t="s">
        <v>81</v>
      </c>
      <c r="B10" s="3">
        <v>5000.3999999999996</v>
      </c>
      <c r="C10" s="4">
        <v>73.760000000000005</v>
      </c>
    </row>
    <row r="11" spans="1:8" x14ac:dyDescent="0.25">
      <c r="A11" s="3" t="s">
        <v>82</v>
      </c>
      <c r="B11" s="3">
        <v>4780.87</v>
      </c>
      <c r="C11" s="4">
        <v>70.52</v>
      </c>
    </row>
    <row r="12" spans="1:8" x14ac:dyDescent="0.25">
      <c r="A12" s="3" t="s">
        <v>83</v>
      </c>
      <c r="B12" s="3">
        <v>4536.95</v>
      </c>
      <c r="C12" s="4">
        <v>66.92</v>
      </c>
    </row>
    <row r="13" spans="1:8" x14ac:dyDescent="0.25">
      <c r="A13" s="3" t="s">
        <v>84</v>
      </c>
      <c r="B13" s="3">
        <v>4070.94</v>
      </c>
      <c r="C13" s="4">
        <v>60.05</v>
      </c>
    </row>
    <row r="14" spans="1:8" x14ac:dyDescent="0.25">
      <c r="A14" s="3" t="s">
        <v>85</v>
      </c>
      <c r="B14" s="3">
        <v>5018.7299999999996</v>
      </c>
      <c r="C14" s="4">
        <v>74.03</v>
      </c>
    </row>
    <row r="15" spans="1:8" x14ac:dyDescent="0.25">
      <c r="A15" s="3" t="s">
        <v>6</v>
      </c>
      <c r="B15" s="3">
        <v>4322.54</v>
      </c>
      <c r="C15" s="4">
        <v>63.76</v>
      </c>
    </row>
    <row r="16" spans="1:8" x14ac:dyDescent="0.25">
      <c r="A16" s="3" t="s">
        <v>86</v>
      </c>
      <c r="B16" s="3">
        <v>4969.74</v>
      </c>
      <c r="C16" s="4">
        <v>73.3</v>
      </c>
    </row>
    <row r="17" spans="1:3" x14ac:dyDescent="0.25">
      <c r="A17" s="3"/>
      <c r="B17" s="3" t="s">
        <v>11</v>
      </c>
      <c r="C17" s="47">
        <f>SUM(_xlfn.ANCHORARRAY(C4))</f>
        <v>952.36999999999978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7966-5F7B-4456-A6FA-CE682D6D2AE8}">
  <sheetPr>
    <tabColor rgb="FFFF0000"/>
  </sheetPr>
  <dimension ref="A1:H16"/>
  <sheetViews>
    <sheetView zoomScale="115" zoomScaleNormal="115" workbookViewId="0">
      <selection activeCell="E4" sqref="E4"/>
    </sheetView>
  </sheetViews>
  <sheetFormatPr defaultRowHeight="15" x14ac:dyDescent="0.25"/>
  <cols>
    <col min="1" max="1" width="12.140625" customWidth="1"/>
    <col min="2" max="2" width="10.85546875" customWidth="1"/>
    <col min="3" max="3" width="13.7109375" bestFit="1" customWidth="1"/>
    <col min="5" max="5" width="21.42578125" customWidth="1"/>
  </cols>
  <sheetData>
    <row r="1" spans="1:8" x14ac:dyDescent="0.25">
      <c r="A1" s="49" t="s">
        <v>88</v>
      </c>
      <c r="B1" s="50"/>
      <c r="C1" s="50"/>
      <c r="D1" s="50"/>
      <c r="E1" s="50"/>
      <c r="F1" s="50"/>
      <c r="G1" s="50"/>
      <c r="H1" s="51"/>
    </row>
    <row r="3" spans="1:8" x14ac:dyDescent="0.25">
      <c r="A3" s="2" t="s">
        <v>0</v>
      </c>
      <c r="B3" s="2" t="s">
        <v>1</v>
      </c>
      <c r="C3" s="2" t="s">
        <v>44</v>
      </c>
      <c r="E3" s="12" t="s">
        <v>18</v>
      </c>
    </row>
    <row r="4" spans="1:8" x14ac:dyDescent="0.25">
      <c r="A4" s="3" t="s">
        <v>6</v>
      </c>
      <c r="B4" s="3">
        <v>300</v>
      </c>
      <c r="C4" s="4">
        <f t="shared" ref="C4:C16" si="0">B4*$E$4</f>
        <v>31.424999999999997</v>
      </c>
      <c r="E4" s="14">
        <v>0.10475</v>
      </c>
    </row>
    <row r="5" spans="1:8" x14ac:dyDescent="0.25">
      <c r="A5" s="3" t="s">
        <v>78</v>
      </c>
      <c r="B5" s="3">
        <v>300</v>
      </c>
      <c r="C5" s="4">
        <f t="shared" si="0"/>
        <v>31.424999999999997</v>
      </c>
    </row>
    <row r="6" spans="1:8" x14ac:dyDescent="0.25">
      <c r="A6" s="3" t="s">
        <v>79</v>
      </c>
      <c r="B6" s="3">
        <v>300</v>
      </c>
      <c r="C6" s="4">
        <f t="shared" si="0"/>
        <v>31.424999999999997</v>
      </c>
    </row>
    <row r="7" spans="1:8" x14ac:dyDescent="0.25">
      <c r="A7" s="3" t="s">
        <v>80</v>
      </c>
      <c r="B7" s="3">
        <v>300</v>
      </c>
      <c r="C7" s="4">
        <f t="shared" si="0"/>
        <v>31.424999999999997</v>
      </c>
      <c r="E7" t="s">
        <v>115</v>
      </c>
    </row>
    <row r="8" spans="1:8" x14ac:dyDescent="0.25">
      <c r="A8" s="3" t="s">
        <v>2</v>
      </c>
      <c r="B8" s="3">
        <v>300</v>
      </c>
      <c r="C8" s="4">
        <f t="shared" si="0"/>
        <v>31.424999999999997</v>
      </c>
      <c r="E8" t="s">
        <v>116</v>
      </c>
    </row>
    <row r="9" spans="1:8" x14ac:dyDescent="0.25">
      <c r="A9" s="3" t="s">
        <v>78</v>
      </c>
      <c r="B9" s="3">
        <v>400</v>
      </c>
      <c r="C9" s="4">
        <f t="shared" si="0"/>
        <v>41.9</v>
      </c>
      <c r="E9" t="s">
        <v>89</v>
      </c>
    </row>
    <row r="10" spans="1:8" x14ac:dyDescent="0.25">
      <c r="A10" s="3" t="s">
        <v>81</v>
      </c>
      <c r="B10" s="3">
        <v>300</v>
      </c>
      <c r="C10" s="4">
        <f t="shared" si="0"/>
        <v>31.424999999999997</v>
      </c>
      <c r="E10" t="s">
        <v>90</v>
      </c>
    </row>
    <row r="11" spans="1:8" x14ac:dyDescent="0.25">
      <c r="A11" s="3" t="s">
        <v>82</v>
      </c>
      <c r="B11" s="3">
        <v>400</v>
      </c>
      <c r="C11" s="4">
        <f t="shared" si="0"/>
        <v>41.9</v>
      </c>
      <c r="E11" t="s">
        <v>91</v>
      </c>
    </row>
    <row r="12" spans="1:8" x14ac:dyDescent="0.25">
      <c r="A12" s="3" t="s">
        <v>83</v>
      </c>
      <c r="B12" s="3">
        <v>300</v>
      </c>
      <c r="C12" s="4">
        <f t="shared" si="0"/>
        <v>31.424999999999997</v>
      </c>
    </row>
    <row r="13" spans="1:8" x14ac:dyDescent="0.25">
      <c r="A13" s="3" t="s">
        <v>84</v>
      </c>
      <c r="B13" s="3">
        <v>400</v>
      </c>
      <c r="C13" s="4">
        <f t="shared" si="0"/>
        <v>41.9</v>
      </c>
    </row>
    <row r="14" spans="1:8" x14ac:dyDescent="0.25">
      <c r="A14" s="3" t="s">
        <v>85</v>
      </c>
      <c r="B14" s="3">
        <v>400</v>
      </c>
      <c r="C14" s="4">
        <f t="shared" si="0"/>
        <v>41.9</v>
      </c>
    </row>
    <row r="15" spans="1:8" x14ac:dyDescent="0.25">
      <c r="A15" s="3" t="s">
        <v>6</v>
      </c>
      <c r="B15" s="3">
        <v>200</v>
      </c>
      <c r="C15" s="4">
        <f t="shared" si="0"/>
        <v>20.95</v>
      </c>
    </row>
    <row r="16" spans="1:8" x14ac:dyDescent="0.25">
      <c r="A16" s="3" t="s">
        <v>86</v>
      </c>
      <c r="B16" s="3">
        <v>400</v>
      </c>
      <c r="C16" s="4">
        <f t="shared" si="0"/>
        <v>41.9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NF(1)</vt:lpstr>
      <vt:lpstr>NF(2)</vt:lpstr>
      <vt:lpstr>NF(3)</vt:lpstr>
      <vt:lpstr>NF(4)</vt:lpstr>
      <vt:lpstr>NF(5)</vt:lpstr>
      <vt:lpstr>ROUND(1)</vt:lpstr>
      <vt:lpstr>ROUND(2)</vt:lpstr>
      <vt:lpstr>HW(1)</vt:lpstr>
      <vt:lpstr>HW(2)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Randy Hernandez</cp:lastModifiedBy>
  <cp:lastPrinted>2024-11-17T04:59:55Z</cp:lastPrinted>
  <dcterms:created xsi:type="dcterms:W3CDTF">2017-10-26T00:08:51Z</dcterms:created>
  <dcterms:modified xsi:type="dcterms:W3CDTF">2026-07-25T16:09:19Z</dcterms:modified>
</cp:coreProperties>
</file>