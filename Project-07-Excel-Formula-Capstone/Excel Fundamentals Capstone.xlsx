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Juvi\Downloads\"/>
    </mc:Choice>
  </mc:AlternateContent>
  <xr:revisionPtr revIDLastSave="0" documentId="13_ncr:1_{2A8236E0-A5D5-4A10-B32C-2661B2AD1446}" xr6:coauthVersionLast="47" xr6:coauthVersionMax="47" xr10:uidLastSave="{00000000-0000-0000-0000-000000000000}"/>
  <bookViews>
    <workbookView xWindow="-120" yWindow="-120" windowWidth="29040" windowHeight="15720" tabRatio="562" firstSheet="22" activeTab="32" xr2:uid="{7DA01315-49EE-44C7-95D5-950AF3C13823}"/>
  </bookViews>
  <sheets>
    <sheet name="Topics" sheetId="43" r:id="rId1"/>
    <sheet name="First" sheetId="44" r:id="rId2"/>
    <sheet name="DefaultA" sheetId="14" r:id="rId3"/>
    <sheet name="NumberF" sheetId="30" r:id="rId4"/>
    <sheet name="EGR" sheetId="18" r:id="rId5"/>
    <sheet name="FormulaElements" sheetId="6" r:id="rId6"/>
    <sheet name="CellReferences" sheetId="9" r:id="rId7"/>
    <sheet name="CR(1)" sheetId="19" r:id="rId8"/>
    <sheet name="CR(2)" sheetId="20" r:id="rId9"/>
    <sheet name="Operators" sheetId="8" r:id="rId10"/>
    <sheet name="OrderOfOperations" sheetId="7" r:id="rId11"/>
    <sheet name="FormulaTypes" sheetId="10" r:id="rId12"/>
    <sheet name="F-DataType" sheetId="16" r:id="rId13"/>
    <sheet name="TextNumbers" sheetId="45" r:id="rId14"/>
    <sheet name="F-CalculationType" sheetId="17" r:id="rId15"/>
    <sheet name="CR(3)" sheetId="50" r:id="rId16"/>
    <sheet name="ROUND" sheetId="21" r:id="rId17"/>
    <sheet name="DateTime" sheetId="22" r:id="rId18"/>
    <sheet name="ModesOfCellEdtting" sheetId="11" r:id="rId19"/>
    <sheet name="Logical Tests" sheetId="23" r:id="rId20"/>
    <sheet name="Lookup" sheetId="27" r:id="rId21"/>
    <sheet name="ERRORS" sheetId="5" r:id="rId22"/>
    <sheet name="HW==&gt;" sheetId="47" r:id="rId23"/>
    <sheet name="HW(1)" sheetId="78" r:id="rId24"/>
    <sheet name="HW(2)" sheetId="80" r:id="rId25"/>
    <sheet name="HW(3)" sheetId="82" r:id="rId26"/>
    <sheet name="HW(4)" sheetId="85" r:id="rId27"/>
    <sheet name="HW(5)" sheetId="86" r:id="rId28"/>
    <sheet name="HW(6)" sheetId="89" r:id="rId29"/>
    <sheet name="HW(7)" sheetId="91" r:id="rId30"/>
    <sheet name="HW(8)" sheetId="93" r:id="rId31"/>
    <sheet name="HW(9)" sheetId="94" r:id="rId32"/>
    <sheet name="HW(10)" sheetId="95" r:id="rId33"/>
    <sheet name="P(11)" sheetId="75" state="hidden" r:id="rId34"/>
    <sheet name="FoundationOfFormulas" sheetId="4" state="hidden" r:id="rId35"/>
    <sheet name="Concepts" sheetId="25" state="hidden" r:id="rId36"/>
  </sheets>
  <definedNames>
    <definedName name="_Toc185970335" localSheetId="34">FoundationOfFormulas!$C$45</definedName>
    <definedName name="_Toc185970336" localSheetId="34">FoundationOfFormulas!$C$46</definedName>
    <definedName name="_Toc186123128" localSheetId="34">FoundationOfFormulas!$C$12</definedName>
    <definedName name="_Toc186220487" localSheetId="1">First!$B$10</definedName>
    <definedName name="COGS">'HW(10)'!$G$5:$G$2003</definedName>
    <definedName name="Customer">'HW(10)'!$E$5:$E$2003</definedName>
    <definedName name="Date">'HW(10)'!$B$5:$B$2003</definedName>
    <definedName name="_xlnm.Print_Area" localSheetId="6">CellReferences!$A$1:$H$38</definedName>
    <definedName name="_xlnm.Print_Area" localSheetId="5">FormulaElements!$B$2:$D$14,FormulaElements!$B$16:$D$31</definedName>
    <definedName name="Product">'HW(10)'!$F$5:$F$2003</definedName>
    <definedName name="Region">'HW(10)'!$C$5:$C$2003</definedName>
    <definedName name="Sales">'HW(10)'!$H$5:$H$2003</definedName>
    <definedName name="SalesRep">'HW(10)'!$D$5:$D$2003</definedName>
    <definedName name="ShowFormulas" comment="Enter reference to a cell or range to show formulas.">_xlfn.LAMBDA(_xlpm.Reference,_xlfn.LET(_xlpm.c, _xlpm.Reference, _xlfn.TOCOL(ADDRESS(ROW(_xlpm.c), COLUMN(_xlpm.c), 4) &amp; ": " &amp; _xlfn.FORMULATEXT(_xlpm.c), 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5" i="95" l="1" a="1"/>
  <c r="L25" i="95" s="1"/>
  <c r="L24" i="95" a="1"/>
  <c r="L24" i="95" s="1"/>
  <c r="L12" i="95"/>
  <c r="L13" i="95"/>
  <c r="L11" i="95"/>
  <c r="I7" i="95"/>
  <c r="I8" i="95"/>
  <c r="I9" i="95"/>
  <c r="I10" i="95"/>
  <c r="I11" i="95"/>
  <c r="I12" i="95"/>
  <c r="I13" i="95"/>
  <c r="I14" i="95"/>
  <c r="I15" i="95"/>
  <c r="I16" i="95"/>
  <c r="I17" i="95"/>
  <c r="I18" i="95"/>
  <c r="I19" i="95"/>
  <c r="I20" i="95"/>
  <c r="I21" i="95"/>
  <c r="I22" i="95"/>
  <c r="I23" i="95"/>
  <c r="I24" i="95"/>
  <c r="I25" i="95"/>
  <c r="I26" i="95"/>
  <c r="I27" i="95"/>
  <c r="I28" i="95"/>
  <c r="I29" i="95"/>
  <c r="I30" i="95"/>
  <c r="I31" i="95"/>
  <c r="I32" i="95"/>
  <c r="I33" i="95"/>
  <c r="I34" i="95"/>
  <c r="I35" i="95"/>
  <c r="I36" i="95"/>
  <c r="I37" i="95"/>
  <c r="I38" i="95"/>
  <c r="I39" i="95"/>
  <c r="I40" i="95"/>
  <c r="I41" i="95"/>
  <c r="I42" i="95"/>
  <c r="I43" i="95"/>
  <c r="I44" i="95"/>
  <c r="I45" i="95"/>
  <c r="I46" i="95"/>
  <c r="I47" i="95"/>
  <c r="I48" i="95"/>
  <c r="I49" i="95"/>
  <c r="I50" i="95"/>
  <c r="I51" i="95"/>
  <c r="I52" i="95"/>
  <c r="I53" i="95"/>
  <c r="I54" i="95"/>
  <c r="I55" i="95"/>
  <c r="I56" i="95"/>
  <c r="I57" i="95"/>
  <c r="I58" i="95"/>
  <c r="I59" i="95"/>
  <c r="I60" i="95"/>
  <c r="I61" i="95"/>
  <c r="I62" i="95"/>
  <c r="I63" i="95"/>
  <c r="I64" i="95"/>
  <c r="I65" i="95"/>
  <c r="I66" i="95"/>
  <c r="I67" i="95"/>
  <c r="I68" i="95"/>
  <c r="I69" i="95"/>
  <c r="I70" i="95"/>
  <c r="I71" i="95"/>
  <c r="I72" i="95"/>
  <c r="I73" i="95"/>
  <c r="I74" i="95"/>
  <c r="I75" i="95"/>
  <c r="I76" i="95"/>
  <c r="I77" i="95"/>
  <c r="I78" i="95"/>
  <c r="I79" i="95"/>
  <c r="I80" i="95"/>
  <c r="I81" i="95"/>
  <c r="I82" i="95"/>
  <c r="I83" i="95"/>
  <c r="I84" i="95"/>
  <c r="I85" i="95"/>
  <c r="I86" i="95"/>
  <c r="I87" i="95"/>
  <c r="I88" i="95"/>
  <c r="I89" i="95"/>
  <c r="I90" i="95"/>
  <c r="I91" i="95"/>
  <c r="I92" i="95"/>
  <c r="I93" i="95"/>
  <c r="I94" i="95"/>
  <c r="I95" i="95"/>
  <c r="I96" i="95"/>
  <c r="I97" i="95"/>
  <c r="I98" i="95"/>
  <c r="I99" i="95"/>
  <c r="I100" i="95"/>
  <c r="I101" i="95"/>
  <c r="I102" i="95"/>
  <c r="I103" i="95"/>
  <c r="I104" i="95"/>
  <c r="I105" i="95"/>
  <c r="I106" i="95"/>
  <c r="I107" i="95"/>
  <c r="I108" i="95"/>
  <c r="I109" i="95"/>
  <c r="I110" i="95"/>
  <c r="I111" i="95"/>
  <c r="I112" i="95"/>
  <c r="I113" i="95"/>
  <c r="I114" i="95"/>
  <c r="I115" i="95"/>
  <c r="I116" i="95"/>
  <c r="I117" i="95"/>
  <c r="I118" i="95"/>
  <c r="I119" i="95"/>
  <c r="I120" i="95"/>
  <c r="I121" i="95"/>
  <c r="I122" i="95"/>
  <c r="I123" i="95"/>
  <c r="I124" i="95"/>
  <c r="I125" i="95"/>
  <c r="I126" i="95"/>
  <c r="I127" i="95"/>
  <c r="I128" i="95"/>
  <c r="I129" i="95"/>
  <c r="I130" i="95"/>
  <c r="I131" i="95"/>
  <c r="I132" i="95"/>
  <c r="I133" i="95"/>
  <c r="I134" i="95"/>
  <c r="I135" i="95"/>
  <c r="I136" i="95"/>
  <c r="I137" i="95"/>
  <c r="I138" i="95"/>
  <c r="I139" i="95"/>
  <c r="I140" i="95"/>
  <c r="I141" i="95"/>
  <c r="I142" i="95"/>
  <c r="I143" i="95"/>
  <c r="I144" i="95"/>
  <c r="I145" i="95"/>
  <c r="I146" i="95"/>
  <c r="I147" i="95"/>
  <c r="I148" i="95"/>
  <c r="I149" i="95"/>
  <c r="I150" i="95"/>
  <c r="I151" i="95"/>
  <c r="I152" i="95"/>
  <c r="I153" i="95"/>
  <c r="I154" i="95"/>
  <c r="I155" i="95"/>
  <c r="I156" i="95"/>
  <c r="I157" i="95"/>
  <c r="I158" i="95"/>
  <c r="I159" i="95"/>
  <c r="I160" i="95"/>
  <c r="I161" i="95"/>
  <c r="I162" i="95"/>
  <c r="I163" i="95"/>
  <c r="I164" i="95"/>
  <c r="I165" i="95"/>
  <c r="I166" i="95"/>
  <c r="I167" i="95"/>
  <c r="I168" i="95"/>
  <c r="I169" i="95"/>
  <c r="I170" i="95"/>
  <c r="I171" i="95"/>
  <c r="I172" i="95"/>
  <c r="I173" i="95"/>
  <c r="I174" i="95"/>
  <c r="I175" i="95"/>
  <c r="I176" i="95"/>
  <c r="I177" i="95"/>
  <c r="I178" i="95"/>
  <c r="I179" i="95"/>
  <c r="I180" i="95"/>
  <c r="I181" i="95"/>
  <c r="I182" i="95"/>
  <c r="I183" i="95"/>
  <c r="I184" i="95"/>
  <c r="I185" i="95"/>
  <c r="I186" i="95"/>
  <c r="I187" i="95"/>
  <c r="I188" i="95"/>
  <c r="I189" i="95"/>
  <c r="I190" i="95"/>
  <c r="I191" i="95"/>
  <c r="I192" i="95"/>
  <c r="I193" i="95"/>
  <c r="I194" i="95"/>
  <c r="I195" i="95"/>
  <c r="I196" i="95"/>
  <c r="I197" i="95"/>
  <c r="I198" i="95"/>
  <c r="I199" i="95"/>
  <c r="I200" i="95"/>
  <c r="I201" i="95"/>
  <c r="I202" i="95"/>
  <c r="I203" i="95"/>
  <c r="I204" i="95"/>
  <c r="I205" i="95"/>
  <c r="I206" i="95"/>
  <c r="I207" i="95"/>
  <c r="I208" i="95"/>
  <c r="I209" i="95"/>
  <c r="I210" i="95"/>
  <c r="I211" i="95"/>
  <c r="I212" i="95"/>
  <c r="I213" i="95"/>
  <c r="I214" i="95"/>
  <c r="I215" i="95"/>
  <c r="I216" i="95"/>
  <c r="I217" i="95"/>
  <c r="I218" i="95"/>
  <c r="I219" i="95"/>
  <c r="I220" i="95"/>
  <c r="I221" i="95"/>
  <c r="I222" i="95"/>
  <c r="I223" i="95"/>
  <c r="I224" i="95"/>
  <c r="I225" i="95"/>
  <c r="I226" i="95"/>
  <c r="I227" i="95"/>
  <c r="I228" i="95"/>
  <c r="I229" i="95"/>
  <c r="I230" i="95"/>
  <c r="I231" i="95"/>
  <c r="I232" i="95"/>
  <c r="I233" i="95"/>
  <c r="I234" i="95"/>
  <c r="I235" i="95"/>
  <c r="I236" i="95"/>
  <c r="I237" i="95"/>
  <c r="I238" i="95"/>
  <c r="I239" i="95"/>
  <c r="I240" i="95"/>
  <c r="I241" i="95"/>
  <c r="I242" i="95"/>
  <c r="I243" i="95"/>
  <c r="I244" i="95"/>
  <c r="I245" i="95"/>
  <c r="I246" i="95"/>
  <c r="I247" i="95"/>
  <c r="I248" i="95"/>
  <c r="I249" i="95"/>
  <c r="I250" i="95"/>
  <c r="I251" i="95"/>
  <c r="I252" i="95"/>
  <c r="I253" i="95"/>
  <c r="I254" i="95"/>
  <c r="I255" i="95"/>
  <c r="I256" i="95"/>
  <c r="I257" i="95"/>
  <c r="I258" i="95"/>
  <c r="I259" i="95"/>
  <c r="I260" i="95"/>
  <c r="I261" i="95"/>
  <c r="I262" i="95"/>
  <c r="I263" i="95"/>
  <c r="I264" i="95"/>
  <c r="I265" i="95"/>
  <c r="I266" i="95"/>
  <c r="I267" i="95"/>
  <c r="I268" i="95"/>
  <c r="I269" i="95"/>
  <c r="I270" i="95"/>
  <c r="I271" i="95"/>
  <c r="I272" i="95"/>
  <c r="I273" i="95"/>
  <c r="I274" i="95"/>
  <c r="I275" i="95"/>
  <c r="I276" i="95"/>
  <c r="I277" i="95"/>
  <c r="I278" i="95"/>
  <c r="I279" i="95"/>
  <c r="I280" i="95"/>
  <c r="I281" i="95"/>
  <c r="I282" i="95"/>
  <c r="I283" i="95"/>
  <c r="I284" i="95"/>
  <c r="I285" i="95"/>
  <c r="I286" i="95"/>
  <c r="I287" i="95"/>
  <c r="I288" i="95"/>
  <c r="I289" i="95"/>
  <c r="I290" i="95"/>
  <c r="I291" i="95"/>
  <c r="I292" i="95"/>
  <c r="I293" i="95"/>
  <c r="I294" i="95"/>
  <c r="I295" i="95"/>
  <c r="I296" i="95"/>
  <c r="I297" i="95"/>
  <c r="I298" i="95"/>
  <c r="I299" i="95"/>
  <c r="I300" i="95"/>
  <c r="I301" i="95"/>
  <c r="I302" i="95"/>
  <c r="I303" i="95"/>
  <c r="I304" i="95"/>
  <c r="I305" i="95"/>
  <c r="I306" i="95"/>
  <c r="I307" i="95"/>
  <c r="I308" i="95"/>
  <c r="I309" i="95"/>
  <c r="I310" i="95"/>
  <c r="I311" i="95"/>
  <c r="I312" i="95"/>
  <c r="I313" i="95"/>
  <c r="I314" i="95"/>
  <c r="I315" i="95"/>
  <c r="I316" i="95"/>
  <c r="I317" i="95"/>
  <c r="I318" i="95"/>
  <c r="I319" i="95"/>
  <c r="I320" i="95"/>
  <c r="I321" i="95"/>
  <c r="I322" i="95"/>
  <c r="I323" i="95"/>
  <c r="I324" i="95"/>
  <c r="I325" i="95"/>
  <c r="I326" i="95"/>
  <c r="I327" i="95"/>
  <c r="I328" i="95"/>
  <c r="I329" i="95"/>
  <c r="I330" i="95"/>
  <c r="I331" i="95"/>
  <c r="I332" i="95"/>
  <c r="I333" i="95"/>
  <c r="I334" i="95"/>
  <c r="I335" i="95"/>
  <c r="I336" i="95"/>
  <c r="I337" i="95"/>
  <c r="I338" i="95"/>
  <c r="I339" i="95"/>
  <c r="I340" i="95"/>
  <c r="I341" i="95"/>
  <c r="I342" i="95"/>
  <c r="I343" i="95"/>
  <c r="I344" i="95"/>
  <c r="I345" i="95"/>
  <c r="I346" i="95"/>
  <c r="I347" i="95"/>
  <c r="I348" i="95"/>
  <c r="I349" i="95"/>
  <c r="I350" i="95"/>
  <c r="I351" i="95"/>
  <c r="I352" i="95"/>
  <c r="I353" i="95"/>
  <c r="I354" i="95"/>
  <c r="I355" i="95"/>
  <c r="I356" i="95"/>
  <c r="I357" i="95"/>
  <c r="I358" i="95"/>
  <c r="I359" i="95"/>
  <c r="I360" i="95"/>
  <c r="I361" i="95"/>
  <c r="I362" i="95"/>
  <c r="I363" i="95"/>
  <c r="I364" i="95"/>
  <c r="I365" i="95"/>
  <c r="I366" i="95"/>
  <c r="I367" i="95"/>
  <c r="I368" i="95"/>
  <c r="I369" i="95"/>
  <c r="I370" i="95"/>
  <c r="I371" i="95"/>
  <c r="I372" i="95"/>
  <c r="I373" i="95"/>
  <c r="I374" i="95"/>
  <c r="I375" i="95"/>
  <c r="I376" i="95"/>
  <c r="I377" i="95"/>
  <c r="I378" i="95"/>
  <c r="I379" i="95"/>
  <c r="I380" i="95"/>
  <c r="I381" i="95"/>
  <c r="I382" i="95"/>
  <c r="I383" i="95"/>
  <c r="I384" i="95"/>
  <c r="I385" i="95"/>
  <c r="I386" i="95"/>
  <c r="I387" i="95"/>
  <c r="I388" i="95"/>
  <c r="I389" i="95"/>
  <c r="I390" i="95"/>
  <c r="I391" i="95"/>
  <c r="I392" i="95"/>
  <c r="I393" i="95"/>
  <c r="I394" i="95"/>
  <c r="I395" i="95"/>
  <c r="I396" i="95"/>
  <c r="I397" i="95"/>
  <c r="I398" i="95"/>
  <c r="I399" i="95"/>
  <c r="I400" i="95"/>
  <c r="I401" i="95"/>
  <c r="I402" i="95"/>
  <c r="I403" i="95"/>
  <c r="I404" i="95"/>
  <c r="I405" i="95"/>
  <c r="I406" i="95"/>
  <c r="I407" i="95"/>
  <c r="I408" i="95"/>
  <c r="I409" i="95"/>
  <c r="I410" i="95"/>
  <c r="I411" i="95"/>
  <c r="I412" i="95"/>
  <c r="I413" i="95"/>
  <c r="I414" i="95"/>
  <c r="I415" i="95"/>
  <c r="I416" i="95"/>
  <c r="I417" i="95"/>
  <c r="I418" i="95"/>
  <c r="I419" i="95"/>
  <c r="I420" i="95"/>
  <c r="I421" i="95"/>
  <c r="I422" i="95"/>
  <c r="I423" i="95"/>
  <c r="I424" i="95"/>
  <c r="I425" i="95"/>
  <c r="I426" i="95"/>
  <c r="I427" i="95"/>
  <c r="I428" i="95"/>
  <c r="I429" i="95"/>
  <c r="I430" i="95"/>
  <c r="I431" i="95"/>
  <c r="I432" i="95"/>
  <c r="I433" i="95"/>
  <c r="I434" i="95"/>
  <c r="I435" i="95"/>
  <c r="I436" i="95"/>
  <c r="I437" i="95"/>
  <c r="I438" i="95"/>
  <c r="I439" i="95"/>
  <c r="I440" i="95"/>
  <c r="I441" i="95"/>
  <c r="I442" i="95"/>
  <c r="I443" i="95"/>
  <c r="I444" i="95"/>
  <c r="I445" i="95"/>
  <c r="I446" i="95"/>
  <c r="I447" i="95"/>
  <c r="I448" i="95"/>
  <c r="I449" i="95"/>
  <c r="I450" i="95"/>
  <c r="I451" i="95"/>
  <c r="I452" i="95"/>
  <c r="I453" i="95"/>
  <c r="I454" i="95"/>
  <c r="I455" i="95"/>
  <c r="I456" i="95"/>
  <c r="I457" i="95"/>
  <c r="I458" i="95"/>
  <c r="I459" i="95"/>
  <c r="I460" i="95"/>
  <c r="I461" i="95"/>
  <c r="I462" i="95"/>
  <c r="I463" i="95"/>
  <c r="I464" i="95"/>
  <c r="I465" i="95"/>
  <c r="I466" i="95"/>
  <c r="I467" i="95"/>
  <c r="I468" i="95"/>
  <c r="I469" i="95"/>
  <c r="I470" i="95"/>
  <c r="I471" i="95"/>
  <c r="I472" i="95"/>
  <c r="I473" i="95"/>
  <c r="I474" i="95"/>
  <c r="I475" i="95"/>
  <c r="I476" i="95"/>
  <c r="I477" i="95"/>
  <c r="I478" i="95"/>
  <c r="I479" i="95"/>
  <c r="I480" i="95"/>
  <c r="I481" i="95"/>
  <c r="I482" i="95"/>
  <c r="I483" i="95"/>
  <c r="I484" i="95"/>
  <c r="I485" i="95"/>
  <c r="I486" i="95"/>
  <c r="I487" i="95"/>
  <c r="I488" i="95"/>
  <c r="I489" i="95"/>
  <c r="I490" i="95"/>
  <c r="I491" i="95"/>
  <c r="I492" i="95"/>
  <c r="I493" i="95"/>
  <c r="I494" i="95"/>
  <c r="I495" i="95"/>
  <c r="I496" i="95"/>
  <c r="I497" i="95"/>
  <c r="I498" i="95"/>
  <c r="I499" i="95"/>
  <c r="I500" i="95"/>
  <c r="I501" i="95"/>
  <c r="I502" i="95"/>
  <c r="I503" i="95"/>
  <c r="I504" i="95"/>
  <c r="I505" i="95"/>
  <c r="I506" i="95"/>
  <c r="I507" i="95"/>
  <c r="I508" i="95"/>
  <c r="I509" i="95"/>
  <c r="I510" i="95"/>
  <c r="I511" i="95"/>
  <c r="I512" i="95"/>
  <c r="I513" i="95"/>
  <c r="I514" i="95"/>
  <c r="I515" i="95"/>
  <c r="I516" i="95"/>
  <c r="I517" i="95"/>
  <c r="I518" i="95"/>
  <c r="I519" i="95"/>
  <c r="I520" i="95"/>
  <c r="I521" i="95"/>
  <c r="I522" i="95"/>
  <c r="I523" i="95"/>
  <c r="I524" i="95"/>
  <c r="I525" i="95"/>
  <c r="I526" i="95"/>
  <c r="I527" i="95"/>
  <c r="I528" i="95"/>
  <c r="I529" i="95"/>
  <c r="I530" i="95"/>
  <c r="I531" i="95"/>
  <c r="I532" i="95"/>
  <c r="I533" i="95"/>
  <c r="I534" i="95"/>
  <c r="I535" i="95"/>
  <c r="I536" i="95"/>
  <c r="I537" i="95"/>
  <c r="I538" i="95"/>
  <c r="I539" i="95"/>
  <c r="I540" i="95"/>
  <c r="I541" i="95"/>
  <c r="I542" i="95"/>
  <c r="I543" i="95"/>
  <c r="I544" i="95"/>
  <c r="I545" i="95"/>
  <c r="I546" i="95"/>
  <c r="I547" i="95"/>
  <c r="I548" i="95"/>
  <c r="I549" i="95"/>
  <c r="I550" i="95"/>
  <c r="I551" i="95"/>
  <c r="I552" i="95"/>
  <c r="I553" i="95"/>
  <c r="I554" i="95"/>
  <c r="I555" i="95"/>
  <c r="I556" i="95"/>
  <c r="I557" i="95"/>
  <c r="I558" i="95"/>
  <c r="I559" i="95"/>
  <c r="I560" i="95"/>
  <c r="I561" i="95"/>
  <c r="I562" i="95"/>
  <c r="I563" i="95"/>
  <c r="I564" i="95"/>
  <c r="I565" i="95"/>
  <c r="I566" i="95"/>
  <c r="I567" i="95"/>
  <c r="I568" i="95"/>
  <c r="I569" i="95"/>
  <c r="I570" i="95"/>
  <c r="I571" i="95"/>
  <c r="I572" i="95"/>
  <c r="I573" i="95"/>
  <c r="I574" i="95"/>
  <c r="I575" i="95"/>
  <c r="I576" i="95"/>
  <c r="I577" i="95"/>
  <c r="I578" i="95"/>
  <c r="I579" i="95"/>
  <c r="I580" i="95"/>
  <c r="I581" i="95"/>
  <c r="I582" i="95"/>
  <c r="I583" i="95"/>
  <c r="I584" i="95"/>
  <c r="I585" i="95"/>
  <c r="I586" i="95"/>
  <c r="I587" i="95"/>
  <c r="I588" i="95"/>
  <c r="I589" i="95"/>
  <c r="I590" i="95"/>
  <c r="I591" i="95"/>
  <c r="I592" i="95"/>
  <c r="I593" i="95"/>
  <c r="I594" i="95"/>
  <c r="I595" i="95"/>
  <c r="I596" i="95"/>
  <c r="I597" i="95"/>
  <c r="I598" i="95"/>
  <c r="I599" i="95"/>
  <c r="I600" i="95"/>
  <c r="I601" i="95"/>
  <c r="I602" i="95"/>
  <c r="I603" i="95"/>
  <c r="I604" i="95"/>
  <c r="I605" i="95"/>
  <c r="I606" i="95"/>
  <c r="I607" i="95"/>
  <c r="I608" i="95"/>
  <c r="I609" i="95"/>
  <c r="I610" i="95"/>
  <c r="I611" i="95"/>
  <c r="I612" i="95"/>
  <c r="I613" i="95"/>
  <c r="I614" i="95"/>
  <c r="I615" i="95"/>
  <c r="I616" i="95"/>
  <c r="I617" i="95"/>
  <c r="I618" i="95"/>
  <c r="I619" i="95"/>
  <c r="I620" i="95"/>
  <c r="I621" i="95"/>
  <c r="I622" i="95"/>
  <c r="I623" i="95"/>
  <c r="I624" i="95"/>
  <c r="I625" i="95"/>
  <c r="I626" i="95"/>
  <c r="I627" i="95"/>
  <c r="I628" i="95"/>
  <c r="I629" i="95"/>
  <c r="I630" i="95"/>
  <c r="I631" i="95"/>
  <c r="I632" i="95"/>
  <c r="I633" i="95"/>
  <c r="I634" i="95"/>
  <c r="I635" i="95"/>
  <c r="I636" i="95"/>
  <c r="I637" i="95"/>
  <c r="I638" i="95"/>
  <c r="I639" i="95"/>
  <c r="I640" i="95"/>
  <c r="I641" i="95"/>
  <c r="I642" i="95"/>
  <c r="I643" i="95"/>
  <c r="I644" i="95"/>
  <c r="I645" i="95"/>
  <c r="I646" i="95"/>
  <c r="I647" i="95"/>
  <c r="I648" i="95"/>
  <c r="I649" i="95"/>
  <c r="I650" i="95"/>
  <c r="I651" i="95"/>
  <c r="I652" i="95"/>
  <c r="I653" i="95"/>
  <c r="I654" i="95"/>
  <c r="I655" i="95"/>
  <c r="I656" i="95"/>
  <c r="I657" i="95"/>
  <c r="I658" i="95"/>
  <c r="I659" i="95"/>
  <c r="I660" i="95"/>
  <c r="I661" i="95"/>
  <c r="I662" i="95"/>
  <c r="I663" i="95"/>
  <c r="I664" i="95"/>
  <c r="I665" i="95"/>
  <c r="I666" i="95"/>
  <c r="I667" i="95"/>
  <c r="I668" i="95"/>
  <c r="I669" i="95"/>
  <c r="I670" i="95"/>
  <c r="I671" i="95"/>
  <c r="I672" i="95"/>
  <c r="I673" i="95"/>
  <c r="I674" i="95"/>
  <c r="I675" i="95"/>
  <c r="I676" i="95"/>
  <c r="I677" i="95"/>
  <c r="I678" i="95"/>
  <c r="I679" i="95"/>
  <c r="I680" i="95"/>
  <c r="I681" i="95"/>
  <c r="I682" i="95"/>
  <c r="I683" i="95"/>
  <c r="I684" i="95"/>
  <c r="I685" i="95"/>
  <c r="I686" i="95"/>
  <c r="I687" i="95"/>
  <c r="I688" i="95"/>
  <c r="I689" i="95"/>
  <c r="I690" i="95"/>
  <c r="I691" i="95"/>
  <c r="I692" i="95"/>
  <c r="I693" i="95"/>
  <c r="I694" i="95"/>
  <c r="I695" i="95"/>
  <c r="I696" i="95"/>
  <c r="I697" i="95"/>
  <c r="I698" i="95"/>
  <c r="I699" i="95"/>
  <c r="I700" i="95"/>
  <c r="I701" i="95"/>
  <c r="I702" i="95"/>
  <c r="I703" i="95"/>
  <c r="I704" i="95"/>
  <c r="I705" i="95"/>
  <c r="I706" i="95"/>
  <c r="I707" i="95"/>
  <c r="I708" i="95"/>
  <c r="I709" i="95"/>
  <c r="I710" i="95"/>
  <c r="I711" i="95"/>
  <c r="I712" i="95"/>
  <c r="I713" i="95"/>
  <c r="I714" i="95"/>
  <c r="I715" i="95"/>
  <c r="I716" i="95"/>
  <c r="I717" i="95"/>
  <c r="I718" i="95"/>
  <c r="I719" i="95"/>
  <c r="I720" i="95"/>
  <c r="I721" i="95"/>
  <c r="I722" i="95"/>
  <c r="I723" i="95"/>
  <c r="I724" i="95"/>
  <c r="I725" i="95"/>
  <c r="I726" i="95"/>
  <c r="I727" i="95"/>
  <c r="I728" i="95"/>
  <c r="I729" i="95"/>
  <c r="I730" i="95"/>
  <c r="I731" i="95"/>
  <c r="I732" i="95"/>
  <c r="I733" i="95"/>
  <c r="I734" i="95"/>
  <c r="I735" i="95"/>
  <c r="I736" i="95"/>
  <c r="I737" i="95"/>
  <c r="I738" i="95"/>
  <c r="I739" i="95"/>
  <c r="I740" i="95"/>
  <c r="I741" i="95"/>
  <c r="I742" i="95"/>
  <c r="I743" i="95"/>
  <c r="I744" i="95"/>
  <c r="I745" i="95"/>
  <c r="I746" i="95"/>
  <c r="I747" i="95"/>
  <c r="I748" i="95"/>
  <c r="I749" i="95"/>
  <c r="I750" i="95"/>
  <c r="I751" i="95"/>
  <c r="I752" i="95"/>
  <c r="I753" i="95"/>
  <c r="I754" i="95"/>
  <c r="I755" i="95"/>
  <c r="I756" i="95"/>
  <c r="I757" i="95"/>
  <c r="I758" i="95"/>
  <c r="I759" i="95"/>
  <c r="I760" i="95"/>
  <c r="I761" i="95"/>
  <c r="I762" i="95"/>
  <c r="I763" i="95"/>
  <c r="I764" i="95"/>
  <c r="I765" i="95"/>
  <c r="I766" i="95"/>
  <c r="I767" i="95"/>
  <c r="I768" i="95"/>
  <c r="I769" i="95"/>
  <c r="I770" i="95"/>
  <c r="I771" i="95"/>
  <c r="I772" i="95"/>
  <c r="I773" i="95"/>
  <c r="I774" i="95"/>
  <c r="I775" i="95"/>
  <c r="I776" i="95"/>
  <c r="I777" i="95"/>
  <c r="I778" i="95"/>
  <c r="I779" i="95"/>
  <c r="I780" i="95"/>
  <c r="I781" i="95"/>
  <c r="I782" i="95"/>
  <c r="I783" i="95"/>
  <c r="I784" i="95"/>
  <c r="I785" i="95"/>
  <c r="I786" i="95"/>
  <c r="I787" i="95"/>
  <c r="I788" i="95"/>
  <c r="I789" i="95"/>
  <c r="I790" i="95"/>
  <c r="I791" i="95"/>
  <c r="I792" i="95"/>
  <c r="I793" i="95"/>
  <c r="I794" i="95"/>
  <c r="I795" i="95"/>
  <c r="I796" i="95"/>
  <c r="I797" i="95"/>
  <c r="I798" i="95"/>
  <c r="I799" i="95"/>
  <c r="I800" i="95"/>
  <c r="I801" i="95"/>
  <c r="I802" i="95"/>
  <c r="I803" i="95"/>
  <c r="I804" i="95"/>
  <c r="I805" i="95"/>
  <c r="I806" i="95"/>
  <c r="I807" i="95"/>
  <c r="I808" i="95"/>
  <c r="I809" i="95"/>
  <c r="I810" i="95"/>
  <c r="I811" i="95"/>
  <c r="I812" i="95"/>
  <c r="I813" i="95"/>
  <c r="I814" i="95"/>
  <c r="I815" i="95"/>
  <c r="I816" i="95"/>
  <c r="I817" i="95"/>
  <c r="I818" i="95"/>
  <c r="I819" i="95"/>
  <c r="I820" i="95"/>
  <c r="I821" i="95"/>
  <c r="I822" i="95"/>
  <c r="I823" i="95"/>
  <c r="I824" i="95"/>
  <c r="I825" i="95"/>
  <c r="I826" i="95"/>
  <c r="I827" i="95"/>
  <c r="I828" i="95"/>
  <c r="I829" i="95"/>
  <c r="I830" i="95"/>
  <c r="I831" i="95"/>
  <c r="I832" i="95"/>
  <c r="I833" i="95"/>
  <c r="I834" i="95"/>
  <c r="I835" i="95"/>
  <c r="I836" i="95"/>
  <c r="I837" i="95"/>
  <c r="I838" i="95"/>
  <c r="I839" i="95"/>
  <c r="I840" i="95"/>
  <c r="I841" i="95"/>
  <c r="I842" i="95"/>
  <c r="I843" i="95"/>
  <c r="I844" i="95"/>
  <c r="I845" i="95"/>
  <c r="I846" i="95"/>
  <c r="I847" i="95"/>
  <c r="I848" i="95"/>
  <c r="I849" i="95"/>
  <c r="I850" i="95"/>
  <c r="I851" i="95"/>
  <c r="I852" i="95"/>
  <c r="I853" i="95"/>
  <c r="I854" i="95"/>
  <c r="I855" i="95"/>
  <c r="I856" i="95"/>
  <c r="I857" i="95"/>
  <c r="I858" i="95"/>
  <c r="I859" i="95"/>
  <c r="I860" i="95"/>
  <c r="I861" i="95"/>
  <c r="I862" i="95"/>
  <c r="I863" i="95"/>
  <c r="I864" i="95"/>
  <c r="I865" i="95"/>
  <c r="I866" i="95"/>
  <c r="I867" i="95"/>
  <c r="I868" i="95"/>
  <c r="I869" i="95"/>
  <c r="I870" i="95"/>
  <c r="I871" i="95"/>
  <c r="I872" i="95"/>
  <c r="I873" i="95"/>
  <c r="I874" i="95"/>
  <c r="I875" i="95"/>
  <c r="I876" i="95"/>
  <c r="I877" i="95"/>
  <c r="I878" i="95"/>
  <c r="I879" i="95"/>
  <c r="I880" i="95"/>
  <c r="I881" i="95"/>
  <c r="I882" i="95"/>
  <c r="I883" i="95"/>
  <c r="I884" i="95"/>
  <c r="I885" i="95"/>
  <c r="I886" i="95"/>
  <c r="I887" i="95"/>
  <c r="I888" i="95"/>
  <c r="I889" i="95"/>
  <c r="I890" i="95"/>
  <c r="I891" i="95"/>
  <c r="I892" i="95"/>
  <c r="I893" i="95"/>
  <c r="I894" i="95"/>
  <c r="I895" i="95"/>
  <c r="I896" i="95"/>
  <c r="I897" i="95"/>
  <c r="I898" i="95"/>
  <c r="I899" i="95"/>
  <c r="I900" i="95"/>
  <c r="I901" i="95"/>
  <c r="I902" i="95"/>
  <c r="I903" i="95"/>
  <c r="I904" i="95"/>
  <c r="I905" i="95"/>
  <c r="I906" i="95"/>
  <c r="I907" i="95"/>
  <c r="I908" i="95"/>
  <c r="I909" i="95"/>
  <c r="I910" i="95"/>
  <c r="I911" i="95"/>
  <c r="I912" i="95"/>
  <c r="I913" i="95"/>
  <c r="I914" i="95"/>
  <c r="I915" i="95"/>
  <c r="I916" i="95"/>
  <c r="I917" i="95"/>
  <c r="I918" i="95"/>
  <c r="I919" i="95"/>
  <c r="I920" i="95"/>
  <c r="I921" i="95"/>
  <c r="I922" i="95"/>
  <c r="I923" i="95"/>
  <c r="I924" i="95"/>
  <c r="I925" i="95"/>
  <c r="I926" i="95"/>
  <c r="I927" i="95"/>
  <c r="I928" i="95"/>
  <c r="I929" i="95"/>
  <c r="I930" i="95"/>
  <c r="I931" i="95"/>
  <c r="I932" i="95"/>
  <c r="I933" i="95"/>
  <c r="I934" i="95"/>
  <c r="I935" i="95"/>
  <c r="I936" i="95"/>
  <c r="I937" i="95"/>
  <c r="I938" i="95"/>
  <c r="I939" i="95"/>
  <c r="I940" i="95"/>
  <c r="I941" i="95"/>
  <c r="I942" i="95"/>
  <c r="I943" i="95"/>
  <c r="I944" i="95"/>
  <c r="I945" i="95"/>
  <c r="I946" i="95"/>
  <c r="I947" i="95"/>
  <c r="I948" i="95"/>
  <c r="I949" i="95"/>
  <c r="I950" i="95"/>
  <c r="I951" i="95"/>
  <c r="I952" i="95"/>
  <c r="I953" i="95"/>
  <c r="I954" i="95"/>
  <c r="I955" i="95"/>
  <c r="I956" i="95"/>
  <c r="I957" i="95"/>
  <c r="I958" i="95"/>
  <c r="I959" i="95"/>
  <c r="I960" i="95"/>
  <c r="I961" i="95"/>
  <c r="I962" i="95"/>
  <c r="I963" i="95"/>
  <c r="I964" i="95"/>
  <c r="I965" i="95"/>
  <c r="I966" i="95"/>
  <c r="I967" i="95"/>
  <c r="I968" i="95"/>
  <c r="I969" i="95"/>
  <c r="I970" i="95"/>
  <c r="I971" i="95"/>
  <c r="I972" i="95"/>
  <c r="I973" i="95"/>
  <c r="I974" i="95"/>
  <c r="I975" i="95"/>
  <c r="I976" i="95"/>
  <c r="I977" i="95"/>
  <c r="I978" i="95"/>
  <c r="I979" i="95"/>
  <c r="I980" i="95"/>
  <c r="I981" i="95"/>
  <c r="I982" i="95"/>
  <c r="I983" i="95"/>
  <c r="I984" i="95"/>
  <c r="I985" i="95"/>
  <c r="I986" i="95"/>
  <c r="I987" i="95"/>
  <c r="I988" i="95"/>
  <c r="I989" i="95"/>
  <c r="I990" i="95"/>
  <c r="I991" i="95"/>
  <c r="I992" i="95"/>
  <c r="I993" i="95"/>
  <c r="I994" i="95"/>
  <c r="I995" i="95"/>
  <c r="I996" i="95"/>
  <c r="I997" i="95"/>
  <c r="I998" i="95"/>
  <c r="I999" i="95"/>
  <c r="I1000" i="95"/>
  <c r="I1001" i="95"/>
  <c r="I1002" i="95"/>
  <c r="I1003" i="95"/>
  <c r="I1004" i="95"/>
  <c r="I1005" i="95"/>
  <c r="I1006" i="95"/>
  <c r="I1007" i="95"/>
  <c r="I1008" i="95"/>
  <c r="I1009" i="95"/>
  <c r="I1010" i="95"/>
  <c r="I1011" i="95"/>
  <c r="I1012" i="95"/>
  <c r="I1013" i="95"/>
  <c r="I1014" i="95"/>
  <c r="I1015" i="95"/>
  <c r="I1016" i="95"/>
  <c r="I1017" i="95"/>
  <c r="I1018" i="95"/>
  <c r="I1019" i="95"/>
  <c r="I1020" i="95"/>
  <c r="I1021" i="95"/>
  <c r="I1022" i="95"/>
  <c r="I1023" i="95"/>
  <c r="I1024" i="95"/>
  <c r="I1025" i="95"/>
  <c r="I1026" i="95"/>
  <c r="I1027" i="95"/>
  <c r="I1028" i="95"/>
  <c r="I1029" i="95"/>
  <c r="I1030" i="95"/>
  <c r="I1031" i="95"/>
  <c r="I1032" i="95"/>
  <c r="I1033" i="95"/>
  <c r="I1034" i="95"/>
  <c r="I1035" i="95"/>
  <c r="I1036" i="95"/>
  <c r="I1037" i="95"/>
  <c r="I1038" i="95"/>
  <c r="I1039" i="95"/>
  <c r="I1040" i="95"/>
  <c r="I1041" i="95"/>
  <c r="I1042" i="95"/>
  <c r="I1043" i="95"/>
  <c r="I1044" i="95"/>
  <c r="I1045" i="95"/>
  <c r="I1046" i="95"/>
  <c r="I1047" i="95"/>
  <c r="I1048" i="95"/>
  <c r="I1049" i="95"/>
  <c r="I1050" i="95"/>
  <c r="I1051" i="95"/>
  <c r="I1052" i="95"/>
  <c r="I1053" i="95"/>
  <c r="I1054" i="95"/>
  <c r="I1055" i="95"/>
  <c r="I1056" i="95"/>
  <c r="I1057" i="95"/>
  <c r="I1058" i="95"/>
  <c r="I1059" i="95"/>
  <c r="I1060" i="95"/>
  <c r="I1061" i="95"/>
  <c r="I1062" i="95"/>
  <c r="I1063" i="95"/>
  <c r="I1064" i="95"/>
  <c r="I1065" i="95"/>
  <c r="I1066" i="95"/>
  <c r="I1067" i="95"/>
  <c r="I1068" i="95"/>
  <c r="I1069" i="95"/>
  <c r="I1070" i="95"/>
  <c r="I1071" i="95"/>
  <c r="I1072" i="95"/>
  <c r="I1073" i="95"/>
  <c r="I1074" i="95"/>
  <c r="I1075" i="95"/>
  <c r="I1076" i="95"/>
  <c r="I1077" i="95"/>
  <c r="I1078" i="95"/>
  <c r="I1079" i="95"/>
  <c r="I1080" i="95"/>
  <c r="I1081" i="95"/>
  <c r="I1082" i="95"/>
  <c r="I1083" i="95"/>
  <c r="I1084" i="95"/>
  <c r="I1085" i="95"/>
  <c r="I1086" i="95"/>
  <c r="I1087" i="95"/>
  <c r="I1088" i="95"/>
  <c r="I1089" i="95"/>
  <c r="I1090" i="95"/>
  <c r="I1091" i="95"/>
  <c r="I1092" i="95"/>
  <c r="I1093" i="95"/>
  <c r="I1094" i="95"/>
  <c r="I1095" i="95"/>
  <c r="I1096" i="95"/>
  <c r="I1097" i="95"/>
  <c r="I1098" i="95"/>
  <c r="I1099" i="95"/>
  <c r="I1100" i="95"/>
  <c r="I1101" i="95"/>
  <c r="I1102" i="95"/>
  <c r="I1103" i="95"/>
  <c r="I1104" i="95"/>
  <c r="I1105" i="95"/>
  <c r="I1106" i="95"/>
  <c r="I1107" i="95"/>
  <c r="I1108" i="95"/>
  <c r="I1109" i="95"/>
  <c r="I1110" i="95"/>
  <c r="I1111" i="95"/>
  <c r="I1112" i="95"/>
  <c r="I1113" i="95"/>
  <c r="I1114" i="95"/>
  <c r="I1115" i="95"/>
  <c r="I1116" i="95"/>
  <c r="I1117" i="95"/>
  <c r="I1118" i="95"/>
  <c r="I1119" i="95"/>
  <c r="I1120" i="95"/>
  <c r="I1121" i="95"/>
  <c r="I1122" i="95"/>
  <c r="I1123" i="95"/>
  <c r="I1124" i="95"/>
  <c r="I1125" i="95"/>
  <c r="I1126" i="95"/>
  <c r="I1127" i="95"/>
  <c r="I1128" i="95"/>
  <c r="I1129" i="95"/>
  <c r="I1130" i="95"/>
  <c r="I1131" i="95"/>
  <c r="I1132" i="95"/>
  <c r="I1133" i="95"/>
  <c r="I1134" i="95"/>
  <c r="I1135" i="95"/>
  <c r="I1136" i="95"/>
  <c r="I1137" i="95"/>
  <c r="I1138" i="95"/>
  <c r="I1139" i="95"/>
  <c r="I1140" i="95"/>
  <c r="I1141" i="95"/>
  <c r="I1142" i="95"/>
  <c r="I1143" i="95"/>
  <c r="I1144" i="95"/>
  <c r="I1145" i="95"/>
  <c r="I1146" i="95"/>
  <c r="I1147" i="95"/>
  <c r="I1148" i="95"/>
  <c r="I1149" i="95"/>
  <c r="I1150" i="95"/>
  <c r="I1151" i="95"/>
  <c r="I1152" i="95"/>
  <c r="I1153" i="95"/>
  <c r="I1154" i="95"/>
  <c r="I1155" i="95"/>
  <c r="I1156" i="95"/>
  <c r="I1157" i="95"/>
  <c r="I1158" i="95"/>
  <c r="I1159" i="95"/>
  <c r="I1160" i="95"/>
  <c r="I1161" i="95"/>
  <c r="I1162" i="95"/>
  <c r="I1163" i="95"/>
  <c r="I1164" i="95"/>
  <c r="I1165" i="95"/>
  <c r="I1166" i="95"/>
  <c r="I1167" i="95"/>
  <c r="I1168" i="95"/>
  <c r="I1169" i="95"/>
  <c r="I1170" i="95"/>
  <c r="I1171" i="95"/>
  <c r="I1172" i="95"/>
  <c r="I1173" i="95"/>
  <c r="I1174" i="95"/>
  <c r="I1175" i="95"/>
  <c r="I1176" i="95"/>
  <c r="I1177" i="95"/>
  <c r="I1178" i="95"/>
  <c r="I1179" i="95"/>
  <c r="I1180" i="95"/>
  <c r="I1181" i="95"/>
  <c r="I1182" i="95"/>
  <c r="I1183" i="95"/>
  <c r="I1184" i="95"/>
  <c r="I1185" i="95"/>
  <c r="I1186" i="95"/>
  <c r="I1187" i="95"/>
  <c r="I1188" i="95"/>
  <c r="I1189" i="95"/>
  <c r="I1190" i="95"/>
  <c r="I1191" i="95"/>
  <c r="I1192" i="95"/>
  <c r="I1193" i="95"/>
  <c r="I1194" i="95"/>
  <c r="I1195" i="95"/>
  <c r="I1196" i="95"/>
  <c r="I1197" i="95"/>
  <c r="I1198" i="95"/>
  <c r="I1199" i="95"/>
  <c r="I1200" i="95"/>
  <c r="I1201" i="95"/>
  <c r="I1202" i="95"/>
  <c r="I1203" i="95"/>
  <c r="I1204" i="95"/>
  <c r="I1205" i="95"/>
  <c r="I1206" i="95"/>
  <c r="I1207" i="95"/>
  <c r="I1208" i="95"/>
  <c r="I1209" i="95"/>
  <c r="I1210" i="95"/>
  <c r="I1211" i="95"/>
  <c r="I1212" i="95"/>
  <c r="I1213" i="95"/>
  <c r="I1214" i="95"/>
  <c r="I1215" i="95"/>
  <c r="I1216" i="95"/>
  <c r="I1217" i="95"/>
  <c r="I1218" i="95"/>
  <c r="I1219" i="95"/>
  <c r="I1220" i="95"/>
  <c r="I1221" i="95"/>
  <c r="I1222" i="95"/>
  <c r="I1223" i="95"/>
  <c r="I1224" i="95"/>
  <c r="I1225" i="95"/>
  <c r="I1226" i="95"/>
  <c r="I1227" i="95"/>
  <c r="I1228" i="95"/>
  <c r="I1229" i="95"/>
  <c r="I1230" i="95"/>
  <c r="I1231" i="95"/>
  <c r="I1232" i="95"/>
  <c r="I1233" i="95"/>
  <c r="I1234" i="95"/>
  <c r="I1235" i="95"/>
  <c r="I1236" i="95"/>
  <c r="I1237" i="95"/>
  <c r="I1238" i="95"/>
  <c r="I1239" i="95"/>
  <c r="I1240" i="95"/>
  <c r="I1241" i="95"/>
  <c r="I1242" i="95"/>
  <c r="I1243" i="95"/>
  <c r="I1244" i="95"/>
  <c r="I1245" i="95"/>
  <c r="I1246" i="95"/>
  <c r="I1247" i="95"/>
  <c r="I1248" i="95"/>
  <c r="I1249" i="95"/>
  <c r="I1250" i="95"/>
  <c r="I1251" i="95"/>
  <c r="I1252" i="95"/>
  <c r="I1253" i="95"/>
  <c r="I1254" i="95"/>
  <c r="I1255" i="95"/>
  <c r="I1256" i="95"/>
  <c r="I1257" i="95"/>
  <c r="I1258" i="95"/>
  <c r="I1259" i="95"/>
  <c r="I1260" i="95"/>
  <c r="I1261" i="95"/>
  <c r="I1262" i="95"/>
  <c r="I1263" i="95"/>
  <c r="I1264" i="95"/>
  <c r="I1265" i="95"/>
  <c r="I1266" i="95"/>
  <c r="I1267" i="95"/>
  <c r="I1268" i="95"/>
  <c r="I1269" i="95"/>
  <c r="I1270" i="95"/>
  <c r="I1271" i="95"/>
  <c r="I1272" i="95"/>
  <c r="I1273" i="95"/>
  <c r="I1274" i="95"/>
  <c r="I1275" i="95"/>
  <c r="I1276" i="95"/>
  <c r="I1277" i="95"/>
  <c r="I1278" i="95"/>
  <c r="I1279" i="95"/>
  <c r="I1280" i="95"/>
  <c r="I1281" i="95"/>
  <c r="I1282" i="95"/>
  <c r="I1283" i="95"/>
  <c r="I1284" i="95"/>
  <c r="I1285" i="95"/>
  <c r="I1286" i="95"/>
  <c r="I1287" i="95"/>
  <c r="I1288" i="95"/>
  <c r="I1289" i="95"/>
  <c r="I1290" i="95"/>
  <c r="I1291" i="95"/>
  <c r="I1292" i="95"/>
  <c r="I1293" i="95"/>
  <c r="I1294" i="95"/>
  <c r="I1295" i="95"/>
  <c r="I1296" i="95"/>
  <c r="I1297" i="95"/>
  <c r="I1298" i="95"/>
  <c r="I1299" i="95"/>
  <c r="I1300" i="95"/>
  <c r="I1301" i="95"/>
  <c r="I1302" i="95"/>
  <c r="I1303" i="95"/>
  <c r="I1304" i="95"/>
  <c r="I1305" i="95"/>
  <c r="I1306" i="95"/>
  <c r="I1307" i="95"/>
  <c r="I1308" i="95"/>
  <c r="I1309" i="95"/>
  <c r="I1310" i="95"/>
  <c r="I1311" i="95"/>
  <c r="I1312" i="95"/>
  <c r="I1313" i="95"/>
  <c r="I1314" i="95"/>
  <c r="I1315" i="95"/>
  <c r="I1316" i="95"/>
  <c r="I1317" i="95"/>
  <c r="I1318" i="95"/>
  <c r="I1319" i="95"/>
  <c r="I1320" i="95"/>
  <c r="I1321" i="95"/>
  <c r="I1322" i="95"/>
  <c r="I1323" i="95"/>
  <c r="I1324" i="95"/>
  <c r="I1325" i="95"/>
  <c r="I1326" i="95"/>
  <c r="I1327" i="95"/>
  <c r="I1328" i="95"/>
  <c r="I1329" i="95"/>
  <c r="I1330" i="95"/>
  <c r="I1331" i="95"/>
  <c r="I1332" i="95"/>
  <c r="I1333" i="95"/>
  <c r="I1334" i="95"/>
  <c r="I1335" i="95"/>
  <c r="I1336" i="95"/>
  <c r="I1337" i="95"/>
  <c r="I1338" i="95"/>
  <c r="I1339" i="95"/>
  <c r="I1340" i="95"/>
  <c r="I1341" i="95"/>
  <c r="I1342" i="95"/>
  <c r="I1343" i="95"/>
  <c r="I1344" i="95"/>
  <c r="I1345" i="95"/>
  <c r="I1346" i="95"/>
  <c r="I1347" i="95"/>
  <c r="I1348" i="95"/>
  <c r="I1349" i="95"/>
  <c r="I1350" i="95"/>
  <c r="I1351" i="95"/>
  <c r="I1352" i="95"/>
  <c r="I1353" i="95"/>
  <c r="I1354" i="95"/>
  <c r="I1355" i="95"/>
  <c r="I1356" i="95"/>
  <c r="I1357" i="95"/>
  <c r="I1358" i="95"/>
  <c r="I1359" i="95"/>
  <c r="I1360" i="95"/>
  <c r="I1361" i="95"/>
  <c r="I1362" i="95"/>
  <c r="I1363" i="95"/>
  <c r="I1364" i="95"/>
  <c r="I1365" i="95"/>
  <c r="I1366" i="95"/>
  <c r="I1367" i="95"/>
  <c r="I1368" i="95"/>
  <c r="I1369" i="95"/>
  <c r="I1370" i="95"/>
  <c r="I1371" i="95"/>
  <c r="I1372" i="95"/>
  <c r="I1373" i="95"/>
  <c r="I1374" i="95"/>
  <c r="I1375" i="95"/>
  <c r="I1376" i="95"/>
  <c r="I1377" i="95"/>
  <c r="I1378" i="95"/>
  <c r="I1379" i="95"/>
  <c r="I1380" i="95"/>
  <c r="I1381" i="95"/>
  <c r="I1382" i="95"/>
  <c r="I1383" i="95"/>
  <c r="I1384" i="95"/>
  <c r="I1385" i="95"/>
  <c r="I1386" i="95"/>
  <c r="I1387" i="95"/>
  <c r="I1388" i="95"/>
  <c r="I1389" i="95"/>
  <c r="I1390" i="95"/>
  <c r="I1391" i="95"/>
  <c r="I1392" i="95"/>
  <c r="I1393" i="95"/>
  <c r="I1394" i="95"/>
  <c r="I1395" i="95"/>
  <c r="I1396" i="95"/>
  <c r="I1397" i="95"/>
  <c r="I1398" i="95"/>
  <c r="I1399" i="95"/>
  <c r="I1400" i="95"/>
  <c r="I1401" i="95"/>
  <c r="I1402" i="95"/>
  <c r="I1403" i="95"/>
  <c r="I1404" i="95"/>
  <c r="I1405" i="95"/>
  <c r="I1406" i="95"/>
  <c r="I1407" i="95"/>
  <c r="I1408" i="95"/>
  <c r="I1409" i="95"/>
  <c r="I1410" i="95"/>
  <c r="I1411" i="95"/>
  <c r="I1412" i="95"/>
  <c r="I1413" i="95"/>
  <c r="I1414" i="95"/>
  <c r="I1415" i="95"/>
  <c r="I1416" i="95"/>
  <c r="I1417" i="95"/>
  <c r="I1418" i="95"/>
  <c r="I1419" i="95"/>
  <c r="I1420" i="95"/>
  <c r="I1421" i="95"/>
  <c r="I1422" i="95"/>
  <c r="I1423" i="95"/>
  <c r="I1424" i="95"/>
  <c r="I1425" i="95"/>
  <c r="I1426" i="95"/>
  <c r="I1427" i="95"/>
  <c r="I1428" i="95"/>
  <c r="I1429" i="95"/>
  <c r="I1430" i="95"/>
  <c r="I1431" i="95"/>
  <c r="I1432" i="95"/>
  <c r="I1433" i="95"/>
  <c r="I1434" i="95"/>
  <c r="I1435" i="95"/>
  <c r="I1436" i="95"/>
  <c r="I1437" i="95"/>
  <c r="I1438" i="95"/>
  <c r="I1439" i="95"/>
  <c r="I1440" i="95"/>
  <c r="I1441" i="95"/>
  <c r="I1442" i="95"/>
  <c r="I1443" i="95"/>
  <c r="I1444" i="95"/>
  <c r="I1445" i="95"/>
  <c r="I1446" i="95"/>
  <c r="I1447" i="95"/>
  <c r="I1448" i="95"/>
  <c r="I1449" i="95"/>
  <c r="I1450" i="95"/>
  <c r="I1451" i="95"/>
  <c r="I1452" i="95"/>
  <c r="I1453" i="95"/>
  <c r="I1454" i="95"/>
  <c r="I1455" i="95"/>
  <c r="I1456" i="95"/>
  <c r="I1457" i="95"/>
  <c r="I1458" i="95"/>
  <c r="I1459" i="95"/>
  <c r="I1460" i="95"/>
  <c r="I1461" i="95"/>
  <c r="I1462" i="95"/>
  <c r="I1463" i="95"/>
  <c r="I1464" i="95"/>
  <c r="I1465" i="95"/>
  <c r="I1466" i="95"/>
  <c r="I1467" i="95"/>
  <c r="I1468" i="95"/>
  <c r="I1469" i="95"/>
  <c r="I1470" i="95"/>
  <c r="I1471" i="95"/>
  <c r="I1472" i="95"/>
  <c r="I1473" i="95"/>
  <c r="I1474" i="95"/>
  <c r="I1475" i="95"/>
  <c r="I1476" i="95"/>
  <c r="I1477" i="95"/>
  <c r="I1478" i="95"/>
  <c r="I1479" i="95"/>
  <c r="I1480" i="95"/>
  <c r="I1481" i="95"/>
  <c r="I1482" i="95"/>
  <c r="I1483" i="95"/>
  <c r="I1484" i="95"/>
  <c r="I1485" i="95"/>
  <c r="I1486" i="95"/>
  <c r="I1487" i="95"/>
  <c r="I1488" i="95"/>
  <c r="I1489" i="95"/>
  <c r="I1490" i="95"/>
  <c r="I1491" i="95"/>
  <c r="I1492" i="95"/>
  <c r="I1493" i="95"/>
  <c r="I1494" i="95"/>
  <c r="I1495" i="95"/>
  <c r="I1496" i="95"/>
  <c r="I1497" i="95"/>
  <c r="I1498" i="95"/>
  <c r="I1499" i="95"/>
  <c r="I1500" i="95"/>
  <c r="I1501" i="95"/>
  <c r="I1502" i="95"/>
  <c r="I1503" i="95"/>
  <c r="I1504" i="95"/>
  <c r="I1505" i="95"/>
  <c r="I1506" i="95"/>
  <c r="I1507" i="95"/>
  <c r="I1508" i="95"/>
  <c r="I1509" i="95"/>
  <c r="I1510" i="95"/>
  <c r="I1511" i="95"/>
  <c r="I1512" i="95"/>
  <c r="I1513" i="95"/>
  <c r="I1514" i="95"/>
  <c r="I1515" i="95"/>
  <c r="I1516" i="95"/>
  <c r="I1517" i="95"/>
  <c r="I1518" i="95"/>
  <c r="I1519" i="95"/>
  <c r="I1520" i="95"/>
  <c r="I1521" i="95"/>
  <c r="I1522" i="95"/>
  <c r="I1523" i="95"/>
  <c r="I1524" i="95"/>
  <c r="I1525" i="95"/>
  <c r="I1526" i="95"/>
  <c r="I1527" i="95"/>
  <c r="I1528" i="95"/>
  <c r="I1529" i="95"/>
  <c r="I1530" i="95"/>
  <c r="I1531" i="95"/>
  <c r="I1532" i="95"/>
  <c r="I1533" i="95"/>
  <c r="I1534" i="95"/>
  <c r="I1535" i="95"/>
  <c r="I1536" i="95"/>
  <c r="I1537" i="95"/>
  <c r="I1538" i="95"/>
  <c r="I1539" i="95"/>
  <c r="I1540" i="95"/>
  <c r="I1541" i="95"/>
  <c r="I1542" i="95"/>
  <c r="I1543" i="95"/>
  <c r="I1544" i="95"/>
  <c r="I1545" i="95"/>
  <c r="I1546" i="95"/>
  <c r="I1547" i="95"/>
  <c r="I1548" i="95"/>
  <c r="I1549" i="95"/>
  <c r="I1550" i="95"/>
  <c r="I1551" i="95"/>
  <c r="I1552" i="95"/>
  <c r="I1553" i="95"/>
  <c r="I1554" i="95"/>
  <c r="I1555" i="95"/>
  <c r="I1556" i="95"/>
  <c r="I1557" i="95"/>
  <c r="I1558" i="95"/>
  <c r="I1559" i="95"/>
  <c r="I1560" i="95"/>
  <c r="I1561" i="95"/>
  <c r="I1562" i="95"/>
  <c r="I1563" i="95"/>
  <c r="I1564" i="95"/>
  <c r="I1565" i="95"/>
  <c r="I1566" i="95"/>
  <c r="I1567" i="95"/>
  <c r="I1568" i="95"/>
  <c r="I1569" i="95"/>
  <c r="I1570" i="95"/>
  <c r="I1571" i="95"/>
  <c r="I1572" i="95"/>
  <c r="I1573" i="95"/>
  <c r="I1574" i="95"/>
  <c r="I1575" i="95"/>
  <c r="I1576" i="95"/>
  <c r="I1577" i="95"/>
  <c r="I1578" i="95"/>
  <c r="I1579" i="95"/>
  <c r="I1580" i="95"/>
  <c r="I1581" i="95"/>
  <c r="I1582" i="95"/>
  <c r="I1583" i="95"/>
  <c r="I1584" i="95"/>
  <c r="I1585" i="95"/>
  <c r="I1586" i="95"/>
  <c r="I1587" i="95"/>
  <c r="I1588" i="95"/>
  <c r="I1589" i="95"/>
  <c r="I1590" i="95"/>
  <c r="I1591" i="95"/>
  <c r="I1592" i="95"/>
  <c r="I1593" i="95"/>
  <c r="I1594" i="95"/>
  <c r="I1595" i="95"/>
  <c r="I1596" i="95"/>
  <c r="I1597" i="95"/>
  <c r="I1598" i="95"/>
  <c r="I1599" i="95"/>
  <c r="I1600" i="95"/>
  <c r="I1601" i="95"/>
  <c r="I1602" i="95"/>
  <c r="I1603" i="95"/>
  <c r="I1604" i="95"/>
  <c r="I1605" i="95"/>
  <c r="I1606" i="95"/>
  <c r="I1607" i="95"/>
  <c r="I1608" i="95"/>
  <c r="I1609" i="95"/>
  <c r="I1610" i="95"/>
  <c r="I1611" i="95"/>
  <c r="I1612" i="95"/>
  <c r="I1613" i="95"/>
  <c r="I1614" i="95"/>
  <c r="I1615" i="95"/>
  <c r="I1616" i="95"/>
  <c r="I1617" i="95"/>
  <c r="I1618" i="95"/>
  <c r="I1619" i="95"/>
  <c r="I1620" i="95"/>
  <c r="I1621" i="95"/>
  <c r="I1622" i="95"/>
  <c r="I1623" i="95"/>
  <c r="I1624" i="95"/>
  <c r="I1625" i="95"/>
  <c r="I1626" i="95"/>
  <c r="I1627" i="95"/>
  <c r="I1628" i="95"/>
  <c r="I1629" i="95"/>
  <c r="I1630" i="95"/>
  <c r="I1631" i="95"/>
  <c r="I1632" i="95"/>
  <c r="I1633" i="95"/>
  <c r="I1634" i="95"/>
  <c r="I1635" i="95"/>
  <c r="I1636" i="95"/>
  <c r="I1637" i="95"/>
  <c r="I1638" i="95"/>
  <c r="I1639" i="95"/>
  <c r="I1640" i="95"/>
  <c r="I1641" i="95"/>
  <c r="I1642" i="95"/>
  <c r="I1643" i="95"/>
  <c r="I1644" i="95"/>
  <c r="I1645" i="95"/>
  <c r="I1646" i="95"/>
  <c r="I1647" i="95"/>
  <c r="I1648" i="95"/>
  <c r="I1649" i="95"/>
  <c r="I1650" i="95"/>
  <c r="I1651" i="95"/>
  <c r="I1652" i="95"/>
  <c r="I1653" i="95"/>
  <c r="I1654" i="95"/>
  <c r="I1655" i="95"/>
  <c r="I1656" i="95"/>
  <c r="I1657" i="95"/>
  <c r="I1658" i="95"/>
  <c r="I1659" i="95"/>
  <c r="I1660" i="95"/>
  <c r="I1661" i="95"/>
  <c r="I1662" i="95"/>
  <c r="I1663" i="95"/>
  <c r="I1664" i="95"/>
  <c r="I1665" i="95"/>
  <c r="I1666" i="95"/>
  <c r="I1667" i="95"/>
  <c r="I1668" i="95"/>
  <c r="I1669" i="95"/>
  <c r="I1670" i="95"/>
  <c r="I1671" i="95"/>
  <c r="I1672" i="95"/>
  <c r="I1673" i="95"/>
  <c r="I1674" i="95"/>
  <c r="I1675" i="95"/>
  <c r="I1676" i="95"/>
  <c r="I1677" i="95"/>
  <c r="I1678" i="95"/>
  <c r="I1679" i="95"/>
  <c r="I1680" i="95"/>
  <c r="I1681" i="95"/>
  <c r="I1682" i="95"/>
  <c r="I1683" i="95"/>
  <c r="I1684" i="95"/>
  <c r="I1685" i="95"/>
  <c r="I1686" i="95"/>
  <c r="I1687" i="95"/>
  <c r="I1688" i="95"/>
  <c r="I1689" i="95"/>
  <c r="I1690" i="95"/>
  <c r="I1691" i="95"/>
  <c r="I1692" i="95"/>
  <c r="I1693" i="95"/>
  <c r="I1694" i="95"/>
  <c r="I1695" i="95"/>
  <c r="I1696" i="95"/>
  <c r="I1697" i="95"/>
  <c r="I1698" i="95"/>
  <c r="I1699" i="95"/>
  <c r="I1700" i="95"/>
  <c r="I1701" i="95"/>
  <c r="I1702" i="95"/>
  <c r="I1703" i="95"/>
  <c r="I1704" i="95"/>
  <c r="I1705" i="95"/>
  <c r="I1706" i="95"/>
  <c r="I1707" i="95"/>
  <c r="I1708" i="95"/>
  <c r="I1709" i="95"/>
  <c r="I1710" i="95"/>
  <c r="I1711" i="95"/>
  <c r="I1712" i="95"/>
  <c r="I1713" i="95"/>
  <c r="I1714" i="95"/>
  <c r="I1715" i="95"/>
  <c r="I1716" i="95"/>
  <c r="I1717" i="95"/>
  <c r="I1718" i="95"/>
  <c r="I1719" i="95"/>
  <c r="I1720" i="95"/>
  <c r="I1721" i="95"/>
  <c r="I1722" i="95"/>
  <c r="I1723" i="95"/>
  <c r="I1724" i="95"/>
  <c r="I1725" i="95"/>
  <c r="I1726" i="95"/>
  <c r="I1727" i="95"/>
  <c r="I1728" i="95"/>
  <c r="I1729" i="95"/>
  <c r="I1730" i="95"/>
  <c r="I1731" i="95"/>
  <c r="I1732" i="95"/>
  <c r="I1733" i="95"/>
  <c r="I1734" i="95"/>
  <c r="I1735" i="95"/>
  <c r="I1736" i="95"/>
  <c r="I1737" i="95"/>
  <c r="I1738" i="95"/>
  <c r="I1739" i="95"/>
  <c r="I1740" i="95"/>
  <c r="I1741" i="95"/>
  <c r="I1742" i="95"/>
  <c r="I1743" i="95"/>
  <c r="I1744" i="95"/>
  <c r="I1745" i="95"/>
  <c r="I1746" i="95"/>
  <c r="I1747" i="95"/>
  <c r="I1748" i="95"/>
  <c r="I1749" i="95"/>
  <c r="I1750" i="95"/>
  <c r="I1751" i="95"/>
  <c r="I1752" i="95"/>
  <c r="I1753" i="95"/>
  <c r="I1754" i="95"/>
  <c r="I1755" i="95"/>
  <c r="I1756" i="95"/>
  <c r="I1757" i="95"/>
  <c r="I1758" i="95"/>
  <c r="I1759" i="95"/>
  <c r="I1760" i="95"/>
  <c r="I1761" i="95"/>
  <c r="I1762" i="95"/>
  <c r="I1763" i="95"/>
  <c r="I1764" i="95"/>
  <c r="I1765" i="95"/>
  <c r="I1766" i="95"/>
  <c r="I1767" i="95"/>
  <c r="I1768" i="95"/>
  <c r="I1769" i="95"/>
  <c r="I1770" i="95"/>
  <c r="I1771" i="95"/>
  <c r="I1772" i="95"/>
  <c r="I1773" i="95"/>
  <c r="I1774" i="95"/>
  <c r="I1775" i="95"/>
  <c r="I1776" i="95"/>
  <c r="I1777" i="95"/>
  <c r="I1778" i="95"/>
  <c r="I1779" i="95"/>
  <c r="I1780" i="95"/>
  <c r="I1781" i="95"/>
  <c r="I1782" i="95"/>
  <c r="I1783" i="95"/>
  <c r="I1784" i="95"/>
  <c r="I1785" i="95"/>
  <c r="I1786" i="95"/>
  <c r="I1787" i="95"/>
  <c r="I1788" i="95"/>
  <c r="I1789" i="95"/>
  <c r="I1790" i="95"/>
  <c r="I1791" i="95"/>
  <c r="I1792" i="95"/>
  <c r="I1793" i="95"/>
  <c r="I1794" i="95"/>
  <c r="I1795" i="95"/>
  <c r="I1796" i="95"/>
  <c r="I1797" i="95"/>
  <c r="I1798" i="95"/>
  <c r="I1799" i="95"/>
  <c r="I1800" i="95"/>
  <c r="I1801" i="95"/>
  <c r="I1802" i="95"/>
  <c r="I1803" i="95"/>
  <c r="I1804" i="95"/>
  <c r="I1805" i="95"/>
  <c r="I1806" i="95"/>
  <c r="I1807" i="95"/>
  <c r="I1808" i="95"/>
  <c r="I1809" i="95"/>
  <c r="I1810" i="95"/>
  <c r="I1811" i="95"/>
  <c r="I1812" i="95"/>
  <c r="I1813" i="95"/>
  <c r="I1814" i="95"/>
  <c r="I1815" i="95"/>
  <c r="I1816" i="95"/>
  <c r="I1817" i="95"/>
  <c r="I1818" i="95"/>
  <c r="I1819" i="95"/>
  <c r="I1820" i="95"/>
  <c r="I1821" i="95"/>
  <c r="I1822" i="95"/>
  <c r="I1823" i="95"/>
  <c r="I1824" i="95"/>
  <c r="I1825" i="95"/>
  <c r="I1826" i="95"/>
  <c r="I1827" i="95"/>
  <c r="I1828" i="95"/>
  <c r="I1829" i="95"/>
  <c r="I1830" i="95"/>
  <c r="I1831" i="95"/>
  <c r="I1832" i="95"/>
  <c r="I1833" i="95"/>
  <c r="I1834" i="95"/>
  <c r="I1835" i="95"/>
  <c r="I1836" i="95"/>
  <c r="I1837" i="95"/>
  <c r="I1838" i="95"/>
  <c r="I1839" i="95"/>
  <c r="I1840" i="95"/>
  <c r="I1841" i="95"/>
  <c r="I1842" i="95"/>
  <c r="I1843" i="95"/>
  <c r="I1844" i="95"/>
  <c r="I1845" i="95"/>
  <c r="I1846" i="95"/>
  <c r="I1847" i="95"/>
  <c r="I1848" i="95"/>
  <c r="I1849" i="95"/>
  <c r="I1850" i="95"/>
  <c r="I1851" i="95"/>
  <c r="I1852" i="95"/>
  <c r="I1853" i="95"/>
  <c r="I1854" i="95"/>
  <c r="I1855" i="95"/>
  <c r="I1856" i="95"/>
  <c r="I1857" i="95"/>
  <c r="I1858" i="95"/>
  <c r="I1859" i="95"/>
  <c r="I1860" i="95"/>
  <c r="I1861" i="95"/>
  <c r="I1862" i="95"/>
  <c r="I1863" i="95"/>
  <c r="I1864" i="95"/>
  <c r="I1865" i="95"/>
  <c r="I1866" i="95"/>
  <c r="I1867" i="95"/>
  <c r="I1868" i="95"/>
  <c r="I1869" i="95"/>
  <c r="I1870" i="95"/>
  <c r="I1871" i="95"/>
  <c r="I1872" i="95"/>
  <c r="I1873" i="95"/>
  <c r="I1874" i="95"/>
  <c r="I1875" i="95"/>
  <c r="I1876" i="95"/>
  <c r="I1877" i="95"/>
  <c r="I1878" i="95"/>
  <c r="I1879" i="95"/>
  <c r="I1880" i="95"/>
  <c r="I1881" i="95"/>
  <c r="I1882" i="95"/>
  <c r="I1883" i="95"/>
  <c r="I1884" i="95"/>
  <c r="I1885" i="95"/>
  <c r="I1886" i="95"/>
  <c r="I1887" i="95"/>
  <c r="I1888" i="95"/>
  <c r="I1889" i="95"/>
  <c r="I1890" i="95"/>
  <c r="I1891" i="95"/>
  <c r="I1892" i="95"/>
  <c r="I1893" i="95"/>
  <c r="I1894" i="95"/>
  <c r="I1895" i="95"/>
  <c r="I1896" i="95"/>
  <c r="I1897" i="95"/>
  <c r="I1898" i="95"/>
  <c r="I1899" i="95"/>
  <c r="I1900" i="95"/>
  <c r="I1901" i="95"/>
  <c r="I1902" i="95"/>
  <c r="I1903" i="95"/>
  <c r="I1904" i="95"/>
  <c r="I1905" i="95"/>
  <c r="I1906" i="95"/>
  <c r="I1907" i="95"/>
  <c r="I1908" i="95"/>
  <c r="I1909" i="95"/>
  <c r="I1910" i="95"/>
  <c r="I1911" i="95"/>
  <c r="I1912" i="95"/>
  <c r="I1913" i="95"/>
  <c r="I1914" i="95"/>
  <c r="I1915" i="95"/>
  <c r="I1916" i="95"/>
  <c r="I1917" i="95"/>
  <c r="I1918" i="95"/>
  <c r="I1919" i="95"/>
  <c r="I1920" i="95"/>
  <c r="I1921" i="95"/>
  <c r="I1922" i="95"/>
  <c r="I1923" i="95"/>
  <c r="I1924" i="95"/>
  <c r="I1925" i="95"/>
  <c r="I1926" i="95"/>
  <c r="I1927" i="95"/>
  <c r="I1928" i="95"/>
  <c r="I1929" i="95"/>
  <c r="I1930" i="95"/>
  <c r="I1931" i="95"/>
  <c r="I1932" i="95"/>
  <c r="I1933" i="95"/>
  <c r="I1934" i="95"/>
  <c r="I1935" i="95"/>
  <c r="I1936" i="95"/>
  <c r="I1937" i="95"/>
  <c r="I1938" i="95"/>
  <c r="I1939" i="95"/>
  <c r="I1940" i="95"/>
  <c r="I1941" i="95"/>
  <c r="I1942" i="95"/>
  <c r="I1943" i="95"/>
  <c r="I1944" i="95"/>
  <c r="I1945" i="95"/>
  <c r="I1946" i="95"/>
  <c r="I1947" i="95"/>
  <c r="I1948" i="95"/>
  <c r="I1949" i="95"/>
  <c r="I1950" i="95"/>
  <c r="I1951" i="95"/>
  <c r="I1952" i="95"/>
  <c r="I1953" i="95"/>
  <c r="I1954" i="95"/>
  <c r="I1955" i="95"/>
  <c r="I1956" i="95"/>
  <c r="I1957" i="95"/>
  <c r="I1958" i="95"/>
  <c r="I1959" i="95"/>
  <c r="I1960" i="95"/>
  <c r="I1961" i="95"/>
  <c r="I1962" i="95"/>
  <c r="I1963" i="95"/>
  <c r="I1964" i="95"/>
  <c r="I1965" i="95"/>
  <c r="I1966" i="95"/>
  <c r="I1967" i="95"/>
  <c r="I1968" i="95"/>
  <c r="I1969" i="95"/>
  <c r="I1970" i="95"/>
  <c r="I1971" i="95"/>
  <c r="I1972" i="95"/>
  <c r="I1973" i="95"/>
  <c r="I1974" i="95"/>
  <c r="I1975" i="95"/>
  <c r="I1976" i="95"/>
  <c r="I1977" i="95"/>
  <c r="I1978" i="95"/>
  <c r="I1979" i="95"/>
  <c r="I1980" i="95"/>
  <c r="I1981" i="95"/>
  <c r="I1982" i="95"/>
  <c r="I1983" i="95"/>
  <c r="I1984" i="95"/>
  <c r="I1985" i="95"/>
  <c r="I1986" i="95"/>
  <c r="I1987" i="95"/>
  <c r="I1988" i="95"/>
  <c r="I1989" i="95"/>
  <c r="I1990" i="95"/>
  <c r="I1991" i="95"/>
  <c r="I1992" i="95"/>
  <c r="I1993" i="95"/>
  <c r="I1994" i="95"/>
  <c r="I1995" i="95"/>
  <c r="I1996" i="95"/>
  <c r="I1997" i="95"/>
  <c r="I1998" i="95"/>
  <c r="I1999" i="95"/>
  <c r="I2000" i="95"/>
  <c r="I2001" i="95"/>
  <c r="I2002" i="95"/>
  <c r="I2003" i="95"/>
  <c r="I2004" i="95"/>
  <c r="I6" i="95"/>
  <c r="H7" i="94" a="1"/>
  <c r="H7" i="94" s="1"/>
  <c r="H8" i="94" a="1"/>
  <c r="H8" i="94" s="1"/>
  <c r="H9" i="94" a="1"/>
  <c r="H9" i="94" s="1"/>
  <c r="H10" i="94" a="1"/>
  <c r="H10" i="94" s="1"/>
  <c r="H6" i="94" a="1"/>
  <c r="H6" i="94" s="1"/>
  <c r="C6" i="93"/>
  <c r="C8" i="91"/>
  <c r="B8" i="91"/>
  <c r="G7" i="86" a="1"/>
  <c r="G7" i="86" s="1"/>
  <c r="I20" i="85"/>
  <c r="I14" i="85"/>
  <c r="I15" i="85"/>
  <c r="I16" i="85"/>
  <c r="I17" i="85"/>
  <c r="I18" i="85"/>
  <c r="F20" i="85"/>
  <c r="F14" i="85" a="1"/>
  <c r="F14" i="85" s="1"/>
  <c r="C20" i="85"/>
  <c r="C15" i="85"/>
  <c r="C16" i="85"/>
  <c r="C17" i="85"/>
  <c r="C18" i="85"/>
  <c r="C14" i="85"/>
  <c r="D18" i="80"/>
  <c r="D6" i="80"/>
  <c r="D7" i="80"/>
  <c r="D8" i="80"/>
  <c r="D9" i="80"/>
  <c r="D10" i="80"/>
  <c r="D11" i="80"/>
  <c r="D12" i="80"/>
  <c r="D13" i="80"/>
  <c r="D14" i="80"/>
  <c r="D15" i="80"/>
  <c r="D16" i="80"/>
  <c r="D17" i="80"/>
  <c r="D5" i="80"/>
  <c r="J21" i="78"/>
  <c r="D21" i="78" a="1"/>
  <c r="D21" i="78" s="1"/>
  <c r="J8" i="78"/>
  <c r="J9" i="78"/>
  <c r="J10" i="78"/>
  <c r="J11" i="78"/>
  <c r="J12" i="78"/>
  <c r="J13" i="78"/>
  <c r="J14" i="78"/>
  <c r="J15" i="78"/>
  <c r="J16" i="78"/>
  <c r="J17" i="78"/>
  <c r="J18" i="78"/>
  <c r="J19" i="78"/>
  <c r="J20" i="78"/>
  <c r="J7" i="78"/>
  <c r="E20" i="78"/>
  <c r="F20" i="78"/>
  <c r="G20" i="78"/>
  <c r="H20" i="78"/>
  <c r="I20" i="78"/>
  <c r="D20" i="78"/>
  <c r="D7" i="78" a="1"/>
  <c r="D7" i="78" s="1"/>
  <c r="I24" i="27" a="1"/>
  <c r="I24" i="27" s="1"/>
  <c r="H24" i="27" a="1"/>
  <c r="H24" i="27" s="1"/>
  <c r="F24" i="27" a="1"/>
  <c r="F24" i="27" s="1"/>
  <c r="E24" i="27" a="1"/>
  <c r="E24" i="27" s="1"/>
  <c r="D17" i="27" a="1"/>
  <c r="D17" i="27" s="1"/>
  <c r="C11" i="27"/>
  <c r="C5" i="27" a="1"/>
  <c r="C5" i="27" s="1"/>
  <c r="F15" i="23"/>
  <c r="F14" i="23" a="1"/>
  <c r="F14" i="23" s="1"/>
  <c r="F13" i="23" a="1"/>
  <c r="F13" i="23" s="1"/>
  <c r="F12" i="23"/>
  <c r="F11" i="23"/>
  <c r="F7" i="23"/>
  <c r="F6" i="23" a="1"/>
  <c r="F6" i="23" s="1"/>
  <c r="F5" i="23" a="1"/>
  <c r="F5" i="23" s="1"/>
  <c r="F4" i="23"/>
  <c r="F3" i="23"/>
  <c r="G23" i="22"/>
  <c r="F23" i="22"/>
  <c r="E23" i="22"/>
  <c r="G17" i="22"/>
  <c r="F17" i="22"/>
  <c r="E17" i="22"/>
  <c r="D11" i="22"/>
  <c r="C6" i="22"/>
  <c r="C39" i="21" a="1"/>
  <c r="C39" i="21" s="1"/>
  <c r="C33" i="21" a="1"/>
  <c r="C33" i="21" s="1"/>
  <c r="C27" i="21"/>
  <c r="C26" i="21"/>
  <c r="C21" i="21"/>
  <c r="C20" i="21"/>
  <c r="C12" i="21"/>
  <c r="C8" i="21" a="1"/>
  <c r="C8" i="21" s="1"/>
  <c r="C4" i="21" a="1"/>
  <c r="C4" i="21" s="1"/>
  <c r="D7" i="50" a="1"/>
  <c r="D7" i="50" s="1"/>
  <c r="D20" i="50" s="1"/>
  <c r="K14" i="17" a="1"/>
  <c r="K14" i="17" s="1"/>
  <c r="I14" i="17"/>
  <c r="I9" i="17"/>
  <c r="I10" i="17"/>
  <c r="I11" i="17"/>
  <c r="I12" i="17"/>
  <c r="I13" i="17"/>
  <c r="F9" i="17" a="1"/>
  <c r="F9" i="17" s="1"/>
  <c r="C10" i="17"/>
  <c r="C11" i="17"/>
  <c r="C12" i="17"/>
  <c r="C13" i="17"/>
  <c r="C9" i="17"/>
  <c r="C5" i="45"/>
  <c r="C9" i="45"/>
  <c r="C13" i="45"/>
  <c r="C13" i="16"/>
  <c r="C12" i="16"/>
  <c r="C16" i="16" s="1"/>
  <c r="C11" i="16"/>
  <c r="C7" i="16"/>
  <c r="G16" i="7" a="1"/>
  <c r="G16" i="7" s="1"/>
  <c r="G10" i="7"/>
  <c r="G5" i="7"/>
  <c r="M7" i="19" a="1"/>
  <c r="M7" i="19" s="1"/>
  <c r="M8" i="19" a="1"/>
  <c r="M8" i="19" s="1"/>
  <c r="M9" i="19" a="1"/>
  <c r="M9" i="19" s="1"/>
  <c r="M10" i="19" a="1"/>
  <c r="M10" i="19" s="1"/>
  <c r="M6" i="19" a="1"/>
  <c r="M6" i="19" s="1"/>
  <c r="C22" i="18"/>
  <c r="C21" i="18"/>
  <c r="C14" i="18"/>
  <c r="L16" i="95"/>
  <c r="L15" i="95"/>
  <c r="L6" i="95"/>
  <c r="L5" i="95"/>
  <c r="G3" i="95"/>
  <c r="G2" i="95"/>
  <c r="E17" i="82"/>
  <c r="E16" i="82"/>
  <c r="E15" i="82"/>
  <c r="E14" i="82"/>
  <c r="E13" i="82"/>
  <c r="E12" i="82"/>
  <c r="E11" i="82"/>
  <c r="E10" i="82"/>
  <c r="E9" i="82"/>
  <c r="E8" i="82"/>
  <c r="E7" i="82"/>
  <c r="E6" i="82"/>
  <c r="E5" i="82"/>
  <c r="C3" i="86"/>
  <c r="B6" i="85"/>
  <c r="B5" i="85"/>
  <c r="B4" i="85"/>
  <c r="B3" i="85"/>
  <c r="J5" i="78"/>
  <c r="G69" i="75"/>
  <c r="G68" i="75"/>
  <c r="G67" i="75"/>
  <c r="G66" i="75"/>
  <c r="G65" i="75"/>
  <c r="G64" i="75"/>
  <c r="G63" i="75"/>
  <c r="G62" i="75"/>
  <c r="G61" i="75"/>
  <c r="G60" i="75"/>
  <c r="G59" i="75"/>
  <c r="G58" i="75"/>
  <c r="G57" i="75"/>
  <c r="G56" i="75"/>
  <c r="G55" i="75"/>
  <c r="G54" i="75"/>
  <c r="G53" i="75"/>
  <c r="G52" i="75"/>
  <c r="G51" i="75"/>
  <c r="G50" i="75"/>
  <c r="G49" i="75"/>
  <c r="G48" i="75"/>
  <c r="G47" i="75"/>
  <c r="G46" i="75"/>
  <c r="G45" i="75"/>
  <c r="G44" i="75"/>
  <c r="G43" i="75"/>
  <c r="G42" i="75"/>
  <c r="G41" i="75"/>
  <c r="G40" i="75"/>
  <c r="G39" i="75"/>
  <c r="G38" i="75"/>
  <c r="G37" i="75"/>
  <c r="G36" i="75"/>
  <c r="G35" i="75"/>
  <c r="G34" i="75"/>
  <c r="G33" i="75"/>
  <c r="G32" i="75"/>
  <c r="G31" i="75"/>
  <c r="G30" i="75"/>
  <c r="G29" i="75"/>
  <c r="G28" i="75"/>
  <c r="G27" i="75"/>
  <c r="G26" i="75"/>
  <c r="G25" i="75"/>
  <c r="G24" i="75"/>
  <c r="G23" i="75"/>
  <c r="G22" i="75"/>
  <c r="G21" i="75"/>
  <c r="G20" i="75"/>
  <c r="G19" i="75"/>
  <c r="G18" i="75"/>
  <c r="G17" i="75"/>
  <c r="G16" i="75"/>
  <c r="G15" i="75"/>
  <c r="G14" i="75"/>
  <c r="G13" i="75"/>
  <c r="G12" i="75"/>
  <c r="G11" i="75"/>
  <c r="B7" i="75"/>
  <c r="D9" i="5"/>
  <c r="D5" i="5" a="1"/>
  <c r="D5" i="5" s="1"/>
  <c r="D3" i="5"/>
  <c r="D4" i="5"/>
  <c r="E7" i="5"/>
  <c r="D7" i="5"/>
  <c r="K19" i="17"/>
  <c r="J5" i="50"/>
  <c r="C7" i="19" a="1"/>
  <c r="C7" i="19" s="1"/>
  <c r="C32" i="21"/>
  <c r="C30" i="21"/>
  <c r="B30" i="21" s="1"/>
  <c r="C15" i="45"/>
  <c r="C11" i="45"/>
  <c r="C7" i="45"/>
  <c r="B17" i="30"/>
  <c r="C15" i="30"/>
  <c r="B10" i="30"/>
  <c r="C8" i="30"/>
  <c r="B8" i="30"/>
  <c r="E7" i="23"/>
  <c r="L11" i="25"/>
  <c r="J9" i="25"/>
  <c r="L5" i="25"/>
  <c r="K5" i="25"/>
  <c r="J5" i="25"/>
  <c r="I5" i="25"/>
  <c r="L4" i="25"/>
  <c r="K4" i="25"/>
  <c r="J4" i="25"/>
  <c r="I4" i="25"/>
  <c r="L3" i="25"/>
  <c r="K3" i="25"/>
  <c r="J3" i="25"/>
  <c r="I3" i="25"/>
  <c r="B14" i="21"/>
  <c r="C38" i="21"/>
  <c r="C23" i="21"/>
  <c r="C19" i="21"/>
  <c r="G10" i="20"/>
  <c r="G9" i="20"/>
  <c r="B7" i="14"/>
  <c r="G14" i="14"/>
  <c r="Q50" i="4"/>
  <c r="Q51" i="4"/>
  <c r="C14" i="14"/>
  <c r="K64" i="4"/>
  <c r="M64" i="4"/>
  <c r="M66" i="4"/>
  <c r="K66" i="4"/>
  <c r="M65" i="4"/>
  <c r="K65" i="4"/>
  <c r="N72" i="4"/>
  <c r="N65" i="4" s="1"/>
  <c r="L70" i="4"/>
  <c r="L65" i="4" s="1"/>
  <c r="I10" i="4"/>
  <c r="I18" i="4"/>
  <c r="M12" i="78" a="1"/>
  <c r="M11" i="78" a="1"/>
  <c r="M10" i="78" a="1"/>
  <c r="M9" i="78" a="1"/>
  <c r="M8" i="78" a="1"/>
  <c r="M7" i="78" a="1"/>
  <c r="M13" i="95"/>
  <c r="M11" i="95"/>
  <c r="M25" i="95"/>
  <c r="E24" i="22"/>
  <c r="K15" i="17"/>
  <c r="G4" i="23"/>
  <c r="D6" i="22"/>
  <c r="G11" i="7"/>
  <c r="E7" i="16"/>
  <c r="M24" i="95"/>
  <c r="I6" i="94"/>
  <c r="F18" i="22"/>
  <c r="D39" i="21"/>
  <c r="H7" i="5"/>
  <c r="F25" i="22"/>
  <c r="D26" i="21"/>
  <c r="D14" i="18"/>
  <c r="G6" i="7"/>
  <c r="G11" i="23"/>
  <c r="G15" i="23"/>
  <c r="R51" i="4" a="1"/>
  <c r="C8" i="93"/>
  <c r="D8" i="91"/>
  <c r="H7" i="86"/>
  <c r="G7" i="23"/>
  <c r="D23" i="21"/>
  <c r="D21" i="21"/>
  <c r="E15" i="30"/>
  <c r="D4" i="21"/>
  <c r="D8" i="21"/>
  <c r="H17" i="17"/>
  <c r="D33" i="21"/>
  <c r="C6" i="27"/>
  <c r="B18" i="17"/>
  <c r="G3" i="5" a="1"/>
  <c r="G6" i="23"/>
  <c r="E8" i="30"/>
  <c r="G13" i="23"/>
  <c r="K18" i="4" a="1"/>
  <c r="E17" i="7"/>
  <c r="E4" i="45" a="1"/>
  <c r="G25" i="22"/>
  <c r="E18" i="17"/>
  <c r="R50" i="4" a="1"/>
  <c r="G14" i="23"/>
  <c r="E14" i="14"/>
  <c r="B17" i="17"/>
  <c r="H18" i="17"/>
  <c r="E16" i="16"/>
  <c r="D12" i="21"/>
  <c r="E13" i="16"/>
  <c r="C12" i="27"/>
  <c r="I14" i="14"/>
  <c r="K20" i="17"/>
  <c r="G5" i="23"/>
  <c r="D21" i="18"/>
  <c r="G12" i="23"/>
  <c r="D27" i="21"/>
  <c r="K10" i="4" a="1"/>
  <c r="M12" i="95"/>
  <c r="D20" i="21"/>
  <c r="E17" i="17"/>
  <c r="G18" i="22"/>
  <c r="K8" i="17"/>
  <c r="E12" i="16"/>
  <c r="D22" i="18"/>
  <c r="E11" i="16"/>
  <c r="G3" i="23"/>
  <c r="E18" i="22"/>
  <c r="M12" i="78" l="1"/>
  <c r="M11" i="78"/>
  <c r="M10" i="78"/>
  <c r="M9" i="78"/>
  <c r="M8" i="78"/>
  <c r="M7" i="78"/>
  <c r="J15" i="50"/>
  <c r="J14" i="50"/>
  <c r="J13" i="50"/>
  <c r="J12" i="50"/>
  <c r="J11" i="50"/>
  <c r="J10" i="50"/>
  <c r="J9" i="50"/>
  <c r="J8" i="50"/>
  <c r="J7" i="50"/>
  <c r="I20" i="50"/>
  <c r="H20" i="50"/>
  <c r="G20" i="50"/>
  <c r="J19" i="50"/>
  <c r="F20" i="50"/>
  <c r="J18" i="50"/>
  <c r="E20" i="50"/>
  <c r="J20" i="50" s="1"/>
  <c r="D21" i="50" s="1" a="1"/>
  <c r="D21" i="50" s="1"/>
  <c r="J17" i="50"/>
  <c r="J16" i="50"/>
  <c r="K7" i="17"/>
  <c r="I15" i="17"/>
  <c r="C14" i="17"/>
  <c r="F14" i="17"/>
  <c r="K10" i="4"/>
  <c r="K18" i="4"/>
  <c r="R50" i="4"/>
  <c r="R51" i="4"/>
  <c r="E4" i="45"/>
  <c r="G3" i="5"/>
  <c r="B23" i="21"/>
  <c r="C25" i="21"/>
  <c r="N66" i="4"/>
  <c r="N64" i="4"/>
  <c r="L64" i="4"/>
  <c r="L66" i="4"/>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<sst xmlns="http://schemas.openxmlformats.org/spreadsheetml/2006/main" count="9898" uniqueCount="831">
  <si>
    <t>Cell References</t>
  </si>
  <si>
    <t>Excel's Golden Rule</t>
  </si>
  <si>
    <t>ROUND function</t>
  </si>
  <si>
    <t>All formulas have an equal sign ( = ) as first character in cell</t>
  </si>
  <si>
    <t>You can use Arrow Keys to put Cell References in Formula, or the Mouse.</t>
  </si>
  <si>
    <t>Formulas by data type:</t>
  </si>
  <si>
    <t>Formulas by calculation type:</t>
  </si>
  <si>
    <r>
      <rPr>
        <b/>
        <sz val="11"/>
        <color theme="1"/>
        <rFont val="Aptos Narrow"/>
        <family val="2"/>
        <scheme val="minor"/>
      </rPr>
      <t>1) Aggregate Formulas</t>
    </r>
    <r>
      <rPr>
        <sz val="11"/>
        <color theme="1"/>
        <rFont val="Aptos Narrow"/>
        <family val="2"/>
        <scheme val="minor"/>
      </rPr>
      <t xml:space="preserve"> operate on an array of values and deliver a single answer, like with adding, averaging or running an AND logical test.</t>
    </r>
  </si>
  <si>
    <r>
      <rPr>
        <b/>
        <sz val="11"/>
        <color theme="1"/>
        <rFont val="Aptos Narrow"/>
        <family val="2"/>
        <scheme val="minor"/>
      </rPr>
      <t>2) Single Input-Output Formulas</t>
    </r>
    <r>
      <rPr>
        <sz val="11"/>
        <color theme="1"/>
        <rFont val="Aptos Narrow"/>
        <family val="2"/>
        <scheme val="minor"/>
      </rPr>
      <t xml:space="preserve"> are formulas that operate on single inputs and deliver a single answer.</t>
    </r>
  </si>
  <si>
    <t>This type of formula has single values entered into a function argument, like =FORMULATEXT(B1), or has single values on either side of an operator, like =A1*B1, where the operator is a multiplication operator.</t>
  </si>
  <si>
    <t>These formulas require that you:</t>
  </si>
  <si>
    <t>1) Consider what type of cell references (relative, absolute, mixed) are required.</t>
  </si>
  <si>
    <t>2) Enter the formula into one cell, and if the formula must be copied, you must manually copy the formula to other cells.</t>
  </si>
  <si>
    <t>3) If you need to edit the formula, you edit the cell and re-copy the formula to other cells if necessary.</t>
  </si>
  <si>
    <r>
      <rPr>
        <b/>
        <sz val="11"/>
        <color theme="1"/>
        <rFont val="Aptos Narrow"/>
        <family val="2"/>
        <scheme val="minor"/>
      </rPr>
      <t>Array Formulas</t>
    </r>
    <r>
      <rPr>
        <sz val="11"/>
        <color theme="1"/>
        <rFont val="Aptos Narrow"/>
        <family val="2"/>
        <scheme val="minor"/>
      </rPr>
      <t xml:space="preserve"> are formulas that contain one or more array operations that deliver an array of answers rather than a single answer. The array operation can involve multiple values entered into a function argument, like =FORMULATEXT(B1:B4), or there can be multiple values on one or more sides of an operator, like =A1*B1:B5, or A1:A5*B1, or A1:A5*B1:B5. Array formula is the general term used to describe both types of array formulas:</t>
    </r>
  </si>
  <si>
    <r>
      <rPr>
        <b/>
        <sz val="11"/>
        <color theme="1"/>
        <rFont val="Aptos Narrow"/>
        <family val="2"/>
        <scheme val="minor"/>
      </rPr>
      <t>3) Dynamic Spilled Array Formulas</t>
    </r>
    <r>
      <rPr>
        <sz val="11"/>
        <color theme="1"/>
        <rFont val="Aptos Narrow"/>
        <family val="2"/>
        <scheme val="minor"/>
      </rPr>
      <t xml:space="preserve"> are array formulas that deliver a spilled array to the worksheet as the final answer. Dynamic Spilled Array formulas spill from the top cell and only live in the top cell. If you spill a formula from cell F9, you refer to the spilled array with the spilled range operator #, as in SUM(#F9) when you want to add the values.</t>
    </r>
  </si>
  <si>
    <r>
      <rPr>
        <b/>
        <sz val="11"/>
        <color theme="1"/>
        <rFont val="Aptos Narrow"/>
        <family val="2"/>
        <scheme val="minor"/>
      </rPr>
      <t>4) Scalar Array Formulas</t>
    </r>
    <r>
      <rPr>
        <sz val="11"/>
        <color theme="1"/>
        <rFont val="Aptos Narrow"/>
        <family val="2"/>
        <scheme val="minor"/>
      </rPr>
      <t xml:space="preserve"> are array formulas that deliver a single, scalar value as the final answer. For example: =SUM(ROUND(M9:M13*N6,2)), where the array operation M9:M13*N6 delivers an array of values to ROUND and then SUM adds the values to deliver a single scalar value (one value).</t>
    </r>
  </si>
  <si>
    <t>Implicit Intersection Operator (@)</t>
  </si>
  <si>
    <r>
      <rPr>
        <b/>
        <sz val="11"/>
        <color theme="1"/>
        <rFont val="Aptos Narrow"/>
        <family val="2"/>
        <scheme val="minor"/>
      </rPr>
      <t>1) Number Formula:</t>
    </r>
    <r>
      <rPr>
        <sz val="11"/>
        <color theme="1"/>
        <rFont val="Aptos Narrow"/>
        <family val="2"/>
        <scheme val="minor"/>
      </rPr>
      <t xml:space="preserve"> Use Math Operators or Functions to calculate a number answer. Numbers are aligned to the right by default.</t>
    </r>
  </si>
  <si>
    <r>
      <rPr>
        <b/>
        <sz val="11"/>
        <color theme="1"/>
        <rFont val="Aptos Narrow"/>
        <family val="2"/>
        <scheme val="minor"/>
      </rPr>
      <t>2) Logical Formula:</t>
    </r>
    <r>
      <rPr>
        <sz val="11"/>
        <color theme="1"/>
        <rFont val="Aptos Narrow"/>
        <family val="2"/>
        <scheme val="minor"/>
      </rPr>
      <t xml:space="preserve"> Use a Comparative Operators or Functions to deliver a TRUE or FALSE. TRUE &amp; FALSE are aligned in the Center by default.</t>
    </r>
  </si>
  <si>
    <r>
      <rPr>
        <b/>
        <sz val="11"/>
        <color theme="1"/>
        <rFont val="Aptos Narrow"/>
        <family val="2"/>
        <scheme val="minor"/>
      </rPr>
      <t>3) Text Formula:</t>
    </r>
    <r>
      <rPr>
        <sz val="11"/>
        <color theme="1"/>
        <rFont val="Aptos Narrow"/>
        <family val="2"/>
        <scheme val="minor"/>
      </rPr>
      <t xml:space="preserve"> Use Join Operator, "Text" in quotes or Functions (like LEFT, TEXT, FIXED and more) to deliver a text answer. Text is aligned to the left by default.</t>
    </r>
  </si>
  <si>
    <t>Default alignment indicates data type:</t>
  </si>
  <si>
    <t>1)</t>
  </si>
  <si>
    <t>Excel</t>
  </si>
  <si>
    <t>2)</t>
  </si>
  <si>
    <t>Numbers aligned to right</t>
  </si>
  <si>
    <t>Text aligned to left</t>
  </si>
  <si>
    <t>Logicals are centered &amp; capitalized</t>
  </si>
  <si>
    <t>Number Formatting displays numbers in a certain way without changing the underlying number:</t>
  </si>
  <si>
    <t>3)</t>
  </si>
  <si>
    <t>Number Format displays the number 43.9 with 0, 1, and 2 deciamls, but the number in all three cells is 43.9</t>
  </si>
  <si>
    <t>4)</t>
  </si>
  <si>
    <t>5)</t>
  </si>
  <si>
    <t>6)</t>
  </si>
  <si>
    <t>Excel's Golden Rule: If a formula input can change, put it in a cell, label it, and refer to it in the formula with a cell reference.</t>
  </si>
  <si>
    <t>Formulas do not "see" Number Formatting and act on the underlying number when a calculation is made.</t>
  </si>
  <si>
    <t>Tax Rate</t>
  </si>
  <si>
    <t>Example of formula inputs that can change:</t>
  </si>
  <si>
    <t>Product</t>
  </si>
  <si>
    <t>Sales</t>
  </si>
  <si>
    <t>Quad</t>
  </si>
  <si>
    <t>Example of formula inputs that will never change:</t>
  </si>
  <si>
    <t>Sales:</t>
  </si>
  <si>
    <t>Numbers:</t>
  </si>
  <si>
    <t>Total Sales:</t>
  </si>
  <si>
    <t>Hours in day</t>
  </si>
  <si>
    <t>Months in year</t>
  </si>
  <si>
    <t>Original Principal in Finance Formulas</t>
  </si>
  <si>
    <t>7)</t>
  </si>
  <si>
    <t>8)</t>
  </si>
  <si>
    <t>Math operators: +, -, *, /, ^, ()</t>
  </si>
  <si>
    <t>Comparative operators: &gt;, &gt;=, &lt;, &lt;=, =, &lt;&gt;</t>
  </si>
  <si>
    <t>Join operator: &amp;</t>
  </si>
  <si>
    <t>Built-in functions like: SUM, XLOOKUP, COUNTIFS, TEXTBEFORE, PMT</t>
  </si>
  <si>
    <t>Order of Operations: (), reference operators, negation, ^, * / (left to right), + - (left to right), &amp;, comparative operators</t>
  </si>
  <si>
    <t>Spilled Range Operator (#)</t>
  </si>
  <si>
    <t>References: cell, range, defined names, table formula nomenclature, such as: B3, D5:D15, (D5:D15 , G3:G5), =D5:D15  G3:G5, Sales, Sales[Product]</t>
  </si>
  <si>
    <t>Text, like: "In Balance"</t>
  </si>
  <si>
    <t>Numbers that will not change, like: 24 hours in a day</t>
  </si>
  <si>
    <t>Array constant, like: {1,2,3}</t>
  </si>
  <si>
    <t>Error Message</t>
  </si>
  <si>
    <t>What It Means</t>
  </si>
  <si>
    <t>A divide-by-zero error has occurred.</t>
  </si>
  <si>
    <t>The formula is using a cell reference that has been deleted or an otherwise invalid cell reference.</t>
  </si>
  <si>
    <t>There is no intersection for a space operator lookup.</t>
  </si>
  <si>
    <t>The number is too big or small (and not between –1*10^307 and 1*10^307), a formula or function contains invalid numeric values, or an iterative function such as IRR cannot find an answer.</t>
  </si>
  <si>
    <t>#######</t>
  </si>
  <si>
    <t>The column is not wide enough to display data (values) or a date or time is a negative value.</t>
  </si>
  <si>
    <t>A formula contains a reference to the cell the formula sits in. This would occur, for example, if =SUM(A1:A3) were in cell A1. The formula doesn’t know what to do because it is looking at itself.</t>
  </si>
  <si>
    <t>#SPILL!</t>
  </si>
  <si>
    <t>Something in a cell is blocking a dynamic spilled array formula from spilling the full array of values.</t>
  </si>
  <si>
    <t>#CALC!</t>
  </si>
  <si>
    <t>An array formula cannot make a calculation, such as when the formula tries to calculate an array within an array, which is not allowed.</t>
  </si>
  <si>
    <t>#BUSY!</t>
  </si>
  <si>
    <t>The data type dot operator is waiting to get an answer, as with a stock price for a Stocks data type or a population number for a Location data type.</t>
  </si>
  <si>
    <t>A not available error has occurred, such as when XLOOKUP or XMATCH functions can’t find a match.</t>
  </si>
  <si>
    <t>An Excel built-in function or defined name is misspelled or word data in a formula is not in double quotation marks.</t>
  </si>
  <si>
    <t>An invalid operator or argument (such as =”Red”*12 or =ROUND(G43,"Two").</t>
  </si>
  <si>
    <t>Element</t>
  </si>
  <si>
    <t>Description</t>
  </si>
  <si>
    <t>Example</t>
  </si>
  <si>
    <t>Equal Sign</t>
  </si>
  <si>
    <t>As first character in cell, it tells Excel you are making a formula</t>
  </si>
  <si>
    <r>
      <rPr>
        <b/>
        <sz val="14"/>
        <color theme="1"/>
        <rFont val="Aptos Narrow"/>
        <family val="2"/>
        <scheme val="minor"/>
      </rPr>
      <t>=</t>
    </r>
    <r>
      <rPr>
        <sz val="11"/>
        <color theme="1"/>
        <rFont val="Aptos Narrow"/>
        <family val="2"/>
        <scheme val="minor"/>
      </rPr>
      <t>SUM(I2:I6)</t>
    </r>
  </si>
  <si>
    <t>Four types of cell references: Relative, Absolute, Mixed with Row Locked, Mixed with Column Locked</t>
  </si>
  <si>
    <t>G2, $G$2, G$2, $G2</t>
  </si>
  <si>
    <t>Range of Cells</t>
  </si>
  <si>
    <t>Four types of ranges: Relative, Absolute, Mixed with Row Locked, Mixed with Column Locked</t>
  </si>
  <si>
    <t>G2:G5, $G$2:$G$5, G$2:G$5, $G2:$G5</t>
  </si>
  <si>
    <t>Reference Operator: colon</t>
  </si>
  <si>
    <t>Used in between two cell reference, two sheet names or two lookup functions to create a range of cells</t>
  </si>
  <si>
    <r>
      <t>G2</t>
    </r>
    <r>
      <rPr>
        <b/>
        <sz val="16"/>
        <color theme="1"/>
        <rFont val="Aptos Narrow"/>
        <family val="2"/>
        <scheme val="minor"/>
      </rPr>
      <t>:</t>
    </r>
    <r>
      <rPr>
        <sz val="11"/>
        <color theme="1"/>
        <rFont val="Aptos Narrow"/>
        <family val="2"/>
        <scheme val="minor"/>
      </rPr>
      <t>G5,   Jan</t>
    </r>
    <r>
      <rPr>
        <b/>
        <sz val="16"/>
        <color theme="1"/>
        <rFont val="Aptos Narrow"/>
        <family val="2"/>
        <scheme val="minor"/>
      </rPr>
      <t>:</t>
    </r>
    <r>
      <rPr>
        <sz val="11"/>
        <color theme="1"/>
        <rFont val="Aptos Narrow"/>
        <family val="2"/>
        <scheme val="minor"/>
      </rPr>
      <t>Apr!C3
XLOOKUP(V2,V3:Z3,V4:Z4)</t>
    </r>
    <r>
      <rPr>
        <b/>
        <sz val="16"/>
        <color theme="1"/>
        <rFont val="Aptos Narrow"/>
        <family val="2"/>
        <scheme val="minor"/>
      </rPr>
      <t>:</t>
    </r>
    <r>
      <rPr>
        <sz val="11"/>
        <color theme="1"/>
        <rFont val="Aptos Narrow"/>
        <family val="2"/>
        <scheme val="minor"/>
      </rPr>
      <t>XLOOKUP(W2,V3:Z3,V4:Z4)</t>
    </r>
  </si>
  <si>
    <t>Reference Operator: comma</t>
  </si>
  <si>
    <t>Used to combine ranges. Works in FREQUNCY, IRR, INDEX, AREAS, LET and aggregate functions like SUM and LARGE. Works in Defined Names.</t>
  </si>
  <si>
    <t>Reference Operator: space</t>
  </si>
  <si>
    <t>Used as an intersection operator to get the value at the intersection of two ranges</t>
  </si>
  <si>
    <t>G2:G6 F4:H4 yields "Quad"</t>
  </si>
  <si>
    <t>Spilled Range Operator (#) that allows you to refer to all items that are spilled from a cell with a spilled array formula</t>
  </si>
  <si>
    <r>
      <t>C3</t>
    </r>
    <r>
      <rPr>
        <b/>
        <sz val="14"/>
        <color theme="1"/>
        <rFont val="Aptos Narrow"/>
        <family val="2"/>
        <scheme val="minor"/>
      </rPr>
      <t>#</t>
    </r>
  </si>
  <si>
    <t>Implicit Intersection Operator (@) allows you to get a corresponding item in the current row of a column or a parallel column. Most commonly seen in relative cell reference in Excel Table columns.</t>
  </si>
  <si>
    <r>
      <t>fSales[</t>
    </r>
    <r>
      <rPr>
        <b/>
        <sz val="14"/>
        <color theme="1"/>
        <rFont val="Aptos Narrow"/>
        <family val="2"/>
        <scheme val="minor"/>
      </rPr>
      <t>@</t>
    </r>
    <r>
      <rPr>
        <sz val="11"/>
        <color theme="1"/>
        <rFont val="Aptos Narrow"/>
        <family val="2"/>
        <scheme val="minor"/>
      </rPr>
      <t xml:space="preserve">Product], </t>
    </r>
    <r>
      <rPr>
        <b/>
        <sz val="14"/>
        <color theme="1"/>
        <rFont val="Aptos Narrow"/>
        <family val="2"/>
        <scheme val="minor"/>
      </rPr>
      <t>@</t>
    </r>
    <r>
      <rPr>
        <sz val="11"/>
        <color theme="1"/>
        <rFont val="Aptos Narrow"/>
        <family val="2"/>
        <scheme val="minor"/>
      </rPr>
      <t xml:space="preserve">Product, </t>
    </r>
    <r>
      <rPr>
        <b/>
        <sz val="14"/>
        <color theme="1"/>
        <rFont val="Aptos Narrow"/>
        <family val="2"/>
        <scheme val="minor"/>
      </rPr>
      <t>@</t>
    </r>
    <r>
      <rPr>
        <sz val="11"/>
        <color theme="1"/>
        <rFont val="Aptos Narrow"/>
        <family val="2"/>
        <scheme val="minor"/>
      </rPr>
      <t>G2:G6</t>
    </r>
  </si>
  <si>
    <t>Data Type Operator
(Dot Operator)</t>
  </si>
  <si>
    <t>For cells that contains a record, the dot allows you to specify what field you want to extra from the cell</t>
  </si>
  <si>
    <t>[@Stock].Price  . B12.Price</t>
  </si>
  <si>
    <t>Worksheet Reference</t>
  </si>
  <si>
    <t>Name of worksheet (in single quotes if a space in name) with exclamation point before cell reference. Any one of four cell references allowed.</t>
  </si>
  <si>
    <t>LookupTable!B3:B6 , 'Lookup Table'!B3:B6</t>
  </si>
  <si>
    <t>Workbook
Reference</t>
  </si>
  <si>
    <t>Same as Worksheet Reference with name of workbook in square brackets and full file path. Any one of four cell references allowed.</t>
  </si>
  <si>
    <r>
      <rPr>
        <b/>
        <sz val="11"/>
        <color theme="1"/>
        <rFont val="Aptos Narrow"/>
        <family val="2"/>
        <scheme val="minor"/>
      </rPr>
      <t>If referenced workbook opened:</t>
    </r>
    <r>
      <rPr>
        <sz val="11"/>
        <color theme="1"/>
        <rFont val="Aptos Narrow"/>
        <family val="2"/>
        <scheme val="minor"/>
      </rPr>
      <t xml:space="preserve">
'[Ch12-Excel365-WorksheetFormulas.xlsx]Elements'!$G$5,
</t>
    </r>
    <r>
      <rPr>
        <b/>
        <sz val="11"/>
        <color theme="1"/>
        <rFont val="Aptos Narrow"/>
        <family val="2"/>
        <scheme val="minor"/>
      </rPr>
      <t>If referenced workbook NOT opened:</t>
    </r>
    <r>
      <rPr>
        <sz val="11"/>
        <color theme="1"/>
        <rFont val="Aptos Narrow"/>
        <family val="2"/>
        <scheme val="minor"/>
      </rPr>
      <t xml:space="preserve"> 
'F:\[Ch12-Excel365-WorksheetFormulas.xlsx]Elements'!G5</t>
    </r>
  </si>
  <si>
    <t>Defined Names</t>
  </si>
  <si>
    <t>Defined Names are names that can represent a cell, ranges of cells, or formulas. The Defined Names can be used in other formulas and features, including in Power Query and the Power Pivot Data Model.</t>
  </si>
  <si>
    <r>
      <t xml:space="preserve">Table Formula Nomenclature
in an Excel Table that has name </t>
    </r>
    <r>
      <rPr>
        <b/>
        <sz val="11"/>
        <color theme="1"/>
        <rFont val="Aptos Narrow"/>
        <family val="2"/>
        <scheme val="minor"/>
      </rPr>
      <t>fSales</t>
    </r>
    <r>
      <rPr>
        <sz val="11"/>
        <color theme="1"/>
        <rFont val="Aptos Narrow"/>
        <family val="2"/>
        <scheme val="minor"/>
      </rPr>
      <t xml:space="preserve">, and columns: </t>
    </r>
    <r>
      <rPr>
        <b/>
        <sz val="11"/>
        <color theme="1"/>
        <rFont val="Aptos Narrow"/>
        <family val="2"/>
        <scheme val="minor"/>
      </rPr>
      <t>Date</t>
    </r>
    <r>
      <rPr>
        <sz val="11"/>
        <color theme="1"/>
        <rFont val="Aptos Narrow"/>
        <family val="2"/>
        <scheme val="minor"/>
      </rPr>
      <t xml:space="preserve">, </t>
    </r>
    <r>
      <rPr>
        <b/>
        <sz val="11"/>
        <color theme="1"/>
        <rFont val="Aptos Narrow"/>
        <family val="2"/>
        <scheme val="minor"/>
      </rPr>
      <t>Product</t>
    </r>
    <r>
      <rPr>
        <sz val="11"/>
        <color theme="1"/>
        <rFont val="Aptos Narrow"/>
        <family val="2"/>
        <scheme val="minor"/>
      </rPr>
      <t xml:space="preserve"> and </t>
    </r>
    <r>
      <rPr>
        <b/>
        <sz val="11"/>
        <color theme="1"/>
        <rFont val="Aptos Narrow"/>
        <family val="2"/>
        <scheme val="minor"/>
      </rPr>
      <t>Sales</t>
    </r>
  </si>
  <si>
    <t>Full Table</t>
  </si>
  <si>
    <t>CallTable[#All]</t>
  </si>
  <si>
    <t>Records in Table</t>
  </si>
  <si>
    <t>CallTable</t>
  </si>
  <si>
    <t>Field Names</t>
  </si>
  <si>
    <t>CallTable[#Headers]</t>
  </si>
  <si>
    <t>Mixed with Row Locked Column Reference</t>
  </si>
  <si>
    <t>CallTable[Rep]</t>
  </si>
  <si>
    <t>Locked Column Reference</t>
  </si>
  <si>
    <t>CallTable[[Rep]:[Rep]]</t>
  </si>
  <si>
    <t>Selected Columns</t>
  </si>
  <si>
    <t>CallTable[[Rep]:[Calls]]</t>
  </si>
  <si>
    <t>Relative Cell Reference (Implicit Intersection Operator)</t>
  </si>
  <si>
    <t>CallTable[@Rep]</t>
  </si>
  <si>
    <t>Worksheet Functions</t>
  </si>
  <si>
    <t>Built-in function like SUM and ROUND that are programmed to make a defined calculation based on the formula inputs entered into the function’s arguments</t>
  </si>
  <si>
    <t>SUM, COUNTIFS, SUMIFS, FORMULATEXT, ROUND, MROUND, UNIQUE, SORT, EDATE, EOMONTH, NETWORKDAYS.INTL, WORKDAY.INTL, AVERAGE, SEQUENCE, LARGE, RANK.EQ,  XLOOKUP, FILTER and many more. About 450 in total.</t>
  </si>
  <si>
    <t>Function argument elements</t>
  </si>
  <si>
    <t>Some functions require that you select an item from a dropdown list in order to instruct the function which type of calculation to make, like with NETWORKDAYS.INTL that needs a 7 to instruct it to ignore Fridays and Saturdays</t>
  </si>
  <si>
    <r>
      <t>NETWORKDAYS.INTL(F2,F2,</t>
    </r>
    <r>
      <rPr>
        <b/>
        <sz val="14"/>
        <color theme="1"/>
        <rFont val="Aptos Narrow"/>
        <family val="2"/>
        <scheme val="minor"/>
      </rPr>
      <t>7</t>
    </r>
    <r>
      <rPr>
        <sz val="11"/>
        <color theme="1"/>
        <rFont val="Aptos Narrow"/>
        <family val="2"/>
        <scheme val="minor"/>
      </rPr>
      <t>)</t>
    </r>
  </si>
  <si>
    <t>Math Operators</t>
  </si>
  <si>
    <t>Used to create math calculations</t>
  </si>
  <si>
    <r>
      <rPr>
        <b/>
        <sz val="11"/>
        <color theme="1"/>
        <rFont val="Aptos Narrow"/>
        <family val="2"/>
        <scheme val="minor"/>
      </rPr>
      <t>+</t>
    </r>
    <r>
      <rPr>
        <sz val="11"/>
        <color theme="1"/>
        <rFont val="Aptos Narrow"/>
        <family val="2"/>
        <scheme val="minor"/>
      </rPr>
      <t xml:space="preserve">  Adding
</t>
    </r>
    <r>
      <rPr>
        <b/>
        <sz val="11"/>
        <color theme="1"/>
        <rFont val="Aptos Narrow"/>
        <family val="2"/>
        <scheme val="minor"/>
      </rPr>
      <t xml:space="preserve">- </t>
    </r>
    <r>
      <rPr>
        <sz val="11"/>
        <color theme="1"/>
        <rFont val="Aptos Narrow"/>
        <family val="2"/>
        <scheme val="minor"/>
      </rPr>
      <t xml:space="preserve">Subtracting or Negation
</t>
    </r>
    <r>
      <rPr>
        <b/>
        <sz val="11"/>
        <color theme="1"/>
        <rFont val="Aptos Narrow"/>
        <family val="2"/>
        <scheme val="minor"/>
      </rPr>
      <t>*</t>
    </r>
    <r>
      <rPr>
        <sz val="11"/>
        <color theme="1"/>
        <rFont val="Aptos Narrow"/>
        <family val="2"/>
        <scheme val="minor"/>
      </rPr>
      <t xml:space="preserve"> Multiplying
</t>
    </r>
    <r>
      <rPr>
        <b/>
        <sz val="11"/>
        <color theme="1"/>
        <rFont val="Aptos Narrow"/>
        <family val="2"/>
        <scheme val="minor"/>
      </rPr>
      <t>/</t>
    </r>
    <r>
      <rPr>
        <sz val="11"/>
        <color theme="1"/>
        <rFont val="Aptos Narrow"/>
        <family val="2"/>
        <scheme val="minor"/>
      </rPr>
      <t xml:space="preserve">  Dividing
</t>
    </r>
    <r>
      <rPr>
        <b/>
        <sz val="11"/>
        <color theme="1"/>
        <rFont val="Aptos Narrow"/>
        <family val="2"/>
        <scheme val="minor"/>
      </rPr>
      <t>^</t>
    </r>
    <r>
      <rPr>
        <sz val="11"/>
        <color theme="1"/>
        <rFont val="Aptos Narrow"/>
        <family val="2"/>
        <scheme val="minor"/>
      </rPr>
      <t xml:space="preserve">  Raising to an exponent
</t>
    </r>
    <r>
      <rPr>
        <b/>
        <sz val="11"/>
        <color theme="1"/>
        <rFont val="Aptos Narrow"/>
        <family val="2"/>
        <scheme val="minor"/>
      </rPr>
      <t xml:space="preserve">( ) </t>
    </r>
    <r>
      <rPr>
        <sz val="11"/>
        <color theme="1"/>
        <rFont val="Aptos Narrow"/>
        <family val="2"/>
        <scheme val="minor"/>
      </rPr>
      <t xml:space="preserve"> Parentheses</t>
    </r>
  </si>
  <si>
    <t>Comparative Operator</t>
  </si>
  <si>
    <t>Used to create comparative calculations</t>
  </si>
  <si>
    <r>
      <rPr>
        <b/>
        <sz val="11"/>
        <color theme="1"/>
        <rFont val="Aptos Narrow"/>
        <family val="2"/>
        <scheme val="minor"/>
      </rPr>
      <t xml:space="preserve">= </t>
    </r>
    <r>
      <rPr>
        <sz val="11"/>
        <color theme="1"/>
        <rFont val="Aptos Narrow"/>
        <family val="2"/>
        <scheme val="minor"/>
      </rPr>
      <t xml:space="preserve">   Equal: are two things equal?
</t>
    </r>
    <r>
      <rPr>
        <b/>
        <sz val="11"/>
        <color theme="1"/>
        <rFont val="Aptos Narrow"/>
        <family val="2"/>
        <scheme val="minor"/>
      </rPr>
      <t>&lt;&gt;</t>
    </r>
    <r>
      <rPr>
        <sz val="11"/>
        <color theme="1"/>
        <rFont val="Aptos Narrow"/>
        <family val="2"/>
        <scheme val="minor"/>
      </rPr>
      <t xml:space="preserve"> Not: are two things Not equal? (less &amp; greater than symbol)
</t>
    </r>
    <r>
      <rPr>
        <b/>
        <sz val="11"/>
        <color theme="1"/>
        <rFont val="Aptos Narrow"/>
        <family val="2"/>
        <scheme val="minor"/>
      </rPr>
      <t>&gt;</t>
    </r>
    <r>
      <rPr>
        <sz val="11"/>
        <color theme="1"/>
        <rFont val="Aptos Narrow"/>
        <family val="2"/>
        <scheme val="minor"/>
      </rPr>
      <t xml:space="preserve"> Greater than: left side greater than right side?
</t>
    </r>
    <r>
      <rPr>
        <b/>
        <sz val="11"/>
        <color theme="1"/>
        <rFont val="Aptos Narrow"/>
        <family val="2"/>
        <scheme val="minor"/>
      </rPr>
      <t>&gt;=</t>
    </r>
    <r>
      <rPr>
        <sz val="11"/>
        <color theme="1"/>
        <rFont val="Aptos Narrow"/>
        <family val="2"/>
        <scheme val="minor"/>
      </rPr>
      <t xml:space="preserve">    Greater than or Equal to: left side &gt;=  than right side?
</t>
    </r>
    <r>
      <rPr>
        <b/>
        <sz val="11"/>
        <color theme="1"/>
        <rFont val="Aptos Narrow"/>
        <family val="2"/>
        <scheme val="minor"/>
      </rPr>
      <t xml:space="preserve">&lt; </t>
    </r>
    <r>
      <rPr>
        <sz val="11"/>
        <color theme="1"/>
        <rFont val="Aptos Narrow"/>
        <family val="2"/>
        <scheme val="minor"/>
      </rPr>
      <t xml:space="preserve">   Less than: left side less than right side?
</t>
    </r>
    <r>
      <rPr>
        <b/>
        <sz val="11"/>
        <color theme="1"/>
        <rFont val="Aptos Narrow"/>
        <family val="2"/>
        <scheme val="minor"/>
      </rPr>
      <t>&lt;=</t>
    </r>
    <r>
      <rPr>
        <sz val="11"/>
        <color theme="1"/>
        <rFont val="Aptos Narrow"/>
        <family val="2"/>
        <scheme val="minor"/>
      </rPr>
      <t xml:space="preserve">    Less than or Equal to: left side &lt;=  than right side?</t>
    </r>
  </si>
  <si>
    <t>Join Operator (&amp;)</t>
  </si>
  <si>
    <t>Ampersand symbol (&amp;) to join two items into one items</t>
  </si>
  <si>
    <t>C8&amp;", "&amp;B8  ,  "Item # "&amp;C8:C12</t>
  </si>
  <si>
    <t>Text within quotation marks</t>
  </si>
  <si>
    <t>Text in Formulas must be in quotes</t>
  </si>
  <si>
    <t>Hard Coded
Numbers</t>
  </si>
  <si>
    <t>When a number will not change, like 12 months in a year or 24 hours in a day, you can hard code it into formula.</t>
  </si>
  <si>
    <r>
      <t>C10/</t>
    </r>
    <r>
      <rPr>
        <b/>
        <sz val="14"/>
        <color theme="1"/>
        <rFont val="Aptos Narrow"/>
        <family val="2"/>
        <scheme val="minor"/>
      </rPr>
      <t>12</t>
    </r>
    <r>
      <rPr>
        <sz val="11"/>
        <color theme="1"/>
        <rFont val="Aptos Narrow"/>
        <family val="2"/>
        <scheme val="minor"/>
      </rPr>
      <t>, (EndTime-StartTime)*</t>
    </r>
    <r>
      <rPr>
        <b/>
        <sz val="14"/>
        <color theme="1"/>
        <rFont val="Aptos Narrow"/>
        <family val="2"/>
        <scheme val="minor"/>
      </rPr>
      <t>24</t>
    </r>
  </si>
  <si>
    <t>Array constants
(hard coded arrays)</t>
  </si>
  <si>
    <t>Hard coded tables, columns or rows.
Curly Brackets house the array:  {   }
Comma means column   ,
Semi-colon means row    ;</t>
  </si>
  <si>
    <r>
      <rPr>
        <b/>
        <sz val="14"/>
        <color theme="1"/>
        <rFont val="Aptos Narrow"/>
        <family val="2"/>
        <scheme val="minor"/>
      </rPr>
      <t>{</t>
    </r>
    <r>
      <rPr>
        <sz val="11"/>
        <color theme="1"/>
        <rFont val="Aptos Narrow"/>
        <family val="2"/>
        <scheme val="minor"/>
      </rPr>
      <t>"Jan"</t>
    </r>
    <r>
      <rPr>
        <b/>
        <sz val="16"/>
        <color theme="1"/>
        <rFont val="Aptos Narrow"/>
        <family val="2"/>
        <scheme val="minor"/>
      </rPr>
      <t>,</t>
    </r>
    <r>
      <rPr>
        <sz val="11"/>
        <color theme="1"/>
        <rFont val="Aptos Narrow"/>
        <family val="2"/>
        <scheme val="minor"/>
      </rPr>
      <t>"Feb","Mar","Apr","May"</t>
    </r>
    <r>
      <rPr>
        <b/>
        <sz val="16"/>
        <color theme="1"/>
        <rFont val="Aptos Narrow"/>
        <family val="2"/>
        <scheme val="minor"/>
      </rPr>
      <t>;</t>
    </r>
    <r>
      <rPr>
        <sz val="11"/>
        <color theme="1"/>
        <rFont val="Aptos Narrow"/>
        <family val="2"/>
        <scheme val="minor"/>
      </rPr>
      <t>1,2,3,4,5</t>
    </r>
    <r>
      <rPr>
        <b/>
        <sz val="14"/>
        <color theme="1"/>
        <rFont val="Aptos Narrow"/>
        <family val="2"/>
        <scheme val="minor"/>
      </rPr>
      <t>}</t>
    </r>
  </si>
  <si>
    <t>Excel Formula Order of Operations:</t>
  </si>
  <si>
    <r>
      <rPr>
        <b/>
        <sz val="11"/>
        <color theme="1"/>
        <rFont val="Aptos Narrow"/>
        <family val="2"/>
        <scheme val="minor"/>
      </rPr>
      <t>1) Parenthesis</t>
    </r>
    <r>
      <rPr>
        <sz val="11"/>
        <color theme="1"/>
        <rFont val="Aptos Narrow"/>
        <family val="2"/>
        <scheme val="minor"/>
      </rPr>
      <t xml:space="preserve"> ( )</t>
    </r>
  </si>
  <si>
    <t>Example of colon in range of cells: =SUM(A1:A4)</t>
  </si>
  <si>
    <t>Example of intersection operator: =E12:G12 F10:F15 (retrieve what is in F12)</t>
  </si>
  <si>
    <t>Example of comma (union): =SUM(E10:G10,E14:G14)</t>
  </si>
  <si>
    <r>
      <rPr>
        <b/>
        <sz val="11"/>
        <color theme="1"/>
        <rFont val="Aptos Narrow"/>
        <family val="2"/>
        <scheme val="minor"/>
      </rPr>
      <t>3) Negation</t>
    </r>
    <r>
      <rPr>
        <sz val="11"/>
        <color theme="1"/>
        <rFont val="Aptos Narrow"/>
        <family val="2"/>
        <scheme val="minor"/>
      </rPr>
      <t xml:space="preserve"> (-)        (give me opposite)</t>
    </r>
  </si>
  <si>
    <t>Example: = -2^4 = 16</t>
  </si>
  <si>
    <t>Example: = -(2^4) = -16</t>
  </si>
  <si>
    <t>Example: --2+1 = 3</t>
  </si>
  <si>
    <r>
      <rPr>
        <b/>
        <sz val="11"/>
        <color theme="1"/>
        <rFont val="Aptos Narrow"/>
        <family val="2"/>
        <scheme val="minor"/>
      </rPr>
      <t>4) Converts %</t>
    </r>
    <r>
      <rPr>
        <sz val="11"/>
        <color theme="1"/>
        <rFont val="Aptos Narrow"/>
        <family val="2"/>
        <scheme val="minor"/>
      </rPr>
      <t xml:space="preserve"> (1% to .01)</t>
    </r>
  </si>
  <si>
    <r>
      <rPr>
        <b/>
        <sz val="11"/>
        <color theme="1"/>
        <rFont val="Aptos Narrow"/>
        <family val="2"/>
        <scheme val="minor"/>
      </rPr>
      <t>5) Exponents</t>
    </r>
    <r>
      <rPr>
        <sz val="11"/>
        <color theme="1"/>
        <rFont val="Aptos Narrow"/>
        <family val="2"/>
        <scheme val="minor"/>
      </rPr>
      <t xml:space="preserve"> (^)</t>
    </r>
  </si>
  <si>
    <t>Example: 3^2 = 9</t>
  </si>
  <si>
    <t>Example: 2^3 = 2*2*2 = 8</t>
  </si>
  <si>
    <t>Example: 4^(1/2) = 2</t>
  </si>
  <si>
    <r>
      <rPr>
        <b/>
        <sz val="11"/>
        <color theme="1"/>
        <rFont val="Aptos Narrow"/>
        <family val="2"/>
        <scheme val="minor"/>
      </rPr>
      <t>6) Multiplication</t>
    </r>
    <r>
      <rPr>
        <sz val="11"/>
        <color theme="1"/>
        <rFont val="Aptos Narrow"/>
        <family val="2"/>
        <scheme val="minor"/>
      </rPr>
      <t xml:space="preserve"> (*) and </t>
    </r>
    <r>
      <rPr>
        <b/>
        <sz val="11"/>
        <color theme="1"/>
        <rFont val="Aptos Narrow"/>
        <family val="2"/>
        <scheme val="minor"/>
      </rPr>
      <t>Division</t>
    </r>
    <r>
      <rPr>
        <sz val="11"/>
        <color theme="1"/>
        <rFont val="Aptos Narrow"/>
        <family val="2"/>
        <scheme val="minor"/>
      </rPr>
      <t xml:space="preserve"> (/), left to right</t>
    </r>
  </si>
  <si>
    <r>
      <rPr>
        <b/>
        <sz val="11"/>
        <color theme="1"/>
        <rFont val="Aptos Narrow"/>
        <family val="2"/>
        <scheme val="minor"/>
      </rPr>
      <t>7) Adding</t>
    </r>
    <r>
      <rPr>
        <sz val="11"/>
        <color theme="1"/>
        <rFont val="Aptos Narrow"/>
        <family val="2"/>
        <scheme val="minor"/>
      </rPr>
      <t xml:space="preserve"> (+) and </t>
    </r>
    <r>
      <rPr>
        <b/>
        <sz val="11"/>
        <color theme="1"/>
        <rFont val="Aptos Narrow"/>
        <family val="2"/>
        <scheme val="minor"/>
      </rPr>
      <t>Subtracting</t>
    </r>
    <r>
      <rPr>
        <sz val="11"/>
        <color theme="1"/>
        <rFont val="Aptos Narrow"/>
        <family val="2"/>
        <scheme val="minor"/>
      </rPr>
      <t xml:space="preserve"> (-), left to right</t>
    </r>
  </si>
  <si>
    <r>
      <rPr>
        <b/>
        <sz val="11"/>
        <color theme="1"/>
        <rFont val="Aptos Narrow"/>
        <family val="2"/>
        <scheme val="minor"/>
      </rPr>
      <t>8) Ampersand</t>
    </r>
    <r>
      <rPr>
        <sz val="11"/>
        <color theme="1"/>
        <rFont val="Aptos Narrow"/>
        <family val="2"/>
        <scheme val="minor"/>
      </rPr>
      <t xml:space="preserve"> (&amp;)    (Join operator)</t>
    </r>
  </si>
  <si>
    <r>
      <rPr>
        <b/>
        <sz val="11"/>
        <color theme="1"/>
        <rFont val="Aptos Narrow"/>
        <family val="2"/>
        <scheme val="minor"/>
      </rPr>
      <t>9) Comparative operators</t>
    </r>
    <r>
      <rPr>
        <sz val="11"/>
        <color theme="1"/>
        <rFont val="Aptos Narrow"/>
        <family val="2"/>
        <scheme val="minor"/>
      </rPr>
      <t>: =, &lt;&gt;, &gt;=, &lt;=, &lt;, &gt;</t>
    </r>
  </si>
  <si>
    <t>Example of Implicit Intersection Operator (@): =[@Product]</t>
  </si>
  <si>
    <t>Example of Table Formula Nomenclature: =SUM(Sales[Sales])</t>
  </si>
  <si>
    <t>9)</t>
  </si>
  <si>
    <t>10)</t>
  </si>
  <si>
    <t>120</t>
  </si>
  <si>
    <t>80</t>
  </si>
  <si>
    <t>Total</t>
  </si>
  <si>
    <t xml:space="preserve"> ( ) represents Parentheses</t>
  </si>
  <si>
    <t xml:space="preserve"> ^ represents Exponents (powers and roots)</t>
  </si>
  <si>
    <t xml:space="preserve"> * represents Multiplication</t>
  </si>
  <si>
    <t xml:space="preserve"> /  represents Division</t>
  </si>
  <si>
    <t xml:space="preserve"> + represents Addition</t>
  </si>
  <si>
    <t xml:space="preserve"> – represents Subtraction</t>
  </si>
  <si>
    <t>Comparative Operators</t>
  </si>
  <si>
    <t xml:space="preserve"> &gt; Greater Than</t>
  </si>
  <si>
    <t xml:space="preserve"> &gt;= Greater Than Or Equal To</t>
  </si>
  <si>
    <t xml:space="preserve"> &lt; Less Than</t>
  </si>
  <si>
    <t xml:space="preserve"> &lt;= Less Than Or Equal To</t>
  </si>
  <si>
    <t xml:space="preserve"> = Equal To</t>
  </si>
  <si>
    <t xml:space="preserve"> &lt;&gt; Not Equal To</t>
  </si>
  <si>
    <t>Join Symbol (Ampersand)</t>
  </si>
  <si>
    <t>&amp;</t>
  </si>
  <si>
    <t>Reference Operators</t>
  </si>
  <si>
    <t>: colon</t>
  </si>
  <si>
    <t>Used in between two reference, like with =SUM(A5:A10)</t>
  </si>
  <si>
    <t>, comma</t>
  </si>
  <si>
    <t>Used to combine ranges, like with =SUM(A5:A10 , D5:D10)</t>
  </si>
  <si>
    <t>indicates that all spilled values should be referenced, like: B6#</t>
  </si>
  <si>
    <t># hash tag (Spilled Range Operator)</t>
  </si>
  <si>
    <t>indicates that the value in the current row must be used, like: [@Sales]</t>
  </si>
  <si>
    <t>Serial number dates use Number Formatting to display dates, but under the Number Formatting is a count of the number of days since Dec 31, 1899.</t>
  </si>
  <si>
    <t>11)</t>
  </si>
  <si>
    <t>12)</t>
  </si>
  <si>
    <t xml:space="preserve"> </t>
  </si>
  <si>
    <t>Mode of cell when you are creating or editing a Worksheet Formula:</t>
  </si>
  <si>
    <t>* The mode of a cell is listed in the lower-left corner of the status bar.</t>
  </si>
  <si>
    <t>* If you want to toggle between the modes, you can press the F2 key.</t>
  </si>
  <si>
    <t>* The four modes the status bar lists tell you what you can do with a formula:</t>
  </si>
  <si>
    <r>
      <t xml:space="preserve">1) </t>
    </r>
    <r>
      <rPr>
        <b/>
        <sz val="11"/>
        <color theme="1"/>
        <rFont val="Aptos Narrow"/>
        <family val="2"/>
        <scheme val="minor"/>
      </rPr>
      <t>Ready</t>
    </r>
    <r>
      <rPr>
        <sz val="11"/>
        <color theme="1"/>
        <rFont val="Aptos Narrow"/>
        <family val="2"/>
        <scheme val="minor"/>
      </rPr>
      <t xml:space="preserve"> indicates that the cell is selected and ready for you to enter text, a number, or a formula.</t>
    </r>
  </si>
  <si>
    <r>
      <t xml:space="preserve">2) </t>
    </r>
    <r>
      <rPr>
        <b/>
        <sz val="11"/>
        <color theme="1"/>
        <rFont val="Aptos Narrow"/>
        <family val="2"/>
        <scheme val="minor"/>
      </rPr>
      <t>Enter</t>
    </r>
    <r>
      <rPr>
        <sz val="11"/>
        <color theme="1"/>
        <rFont val="Aptos Narrow"/>
        <family val="2"/>
        <scheme val="minor"/>
      </rPr>
      <t xml:space="preserve"> indicates that you can use arrow keys or the mouse to select a range or the keyboard to enter a formula, or to type formula elements.</t>
    </r>
  </si>
  <si>
    <r>
      <t xml:space="preserve">3) </t>
    </r>
    <r>
      <rPr>
        <b/>
        <sz val="11"/>
        <color theme="1"/>
        <rFont val="Aptos Narrow"/>
        <family val="2"/>
        <scheme val="minor"/>
      </rPr>
      <t>Point</t>
    </r>
    <r>
      <rPr>
        <sz val="11"/>
        <color theme="1"/>
        <rFont val="Aptos Narrow"/>
        <family val="2"/>
        <scheme val="minor"/>
      </rPr>
      <t xml:space="preserve"> indicates that that you are using your arrow keys or mouse to select a range. You can type formula elements in this mode also.</t>
    </r>
  </si>
  <si>
    <r>
      <t xml:space="preserve">4) </t>
    </r>
    <r>
      <rPr>
        <b/>
        <sz val="11"/>
        <color theme="1"/>
        <rFont val="Aptos Narrow"/>
        <family val="2"/>
        <scheme val="minor"/>
      </rPr>
      <t>Edit</t>
    </r>
    <r>
      <rPr>
        <sz val="11"/>
        <color theme="1"/>
        <rFont val="Aptos Narrow"/>
        <family val="2"/>
        <scheme val="minor"/>
      </rPr>
      <t xml:space="preserve"> indicates that that the arrow keys will move the insertion point cursor from left to right in the formula.</t>
    </r>
  </si>
  <si>
    <t>These different types of cell references can be used in formulas: A1 (Relative), $A$1 (Locked), A$1 (Mixed with row locked), $A1 (Mixed with column locked), Sales!A1 (Worksheet), [Sales.xlsx]Sales!A1, 'Week(1):Week(2)'!G16 (3-D)</t>
  </si>
  <si>
    <t>13)</t>
  </si>
  <si>
    <t>Keyboard shortcuts help create formulas and formula models quickly, like Alt + = to invoke the SUM function, or F4 to add and toggle through the different types of cell references, Ctrl + Shift + ↓ to select a range in a column.</t>
  </si>
  <si>
    <t>14)</t>
  </si>
  <si>
    <t>15)</t>
  </si>
  <si>
    <t>16)</t>
  </si>
  <si>
    <t>The IF function is used to put one of two items into a cell or formula based on a logical test</t>
  </si>
  <si>
    <t>17)</t>
  </si>
  <si>
    <t>18)</t>
  </si>
  <si>
    <t>19)</t>
  </si>
  <si>
    <t>Being familiar with the different types of formula errors is important, errors such as: #DIV/0!,  #REF!,  #NAME?,  #N/A,  #VALUE!,  #NULL!,  #NUM!,  #######,  Circular cell reference,  #SPILL!,  #CALC!,  #BUSY!</t>
  </si>
  <si>
    <t>Some of the possible formula elements (stuff you can put in a formula) that can be used in formulas are:</t>
  </si>
  <si>
    <t>20)</t>
  </si>
  <si>
    <t>21)</t>
  </si>
  <si>
    <t>This allows date calculations with formulas, such as the date logic: EndDate - BeginDate = number of days between the two dates.</t>
  </si>
  <si>
    <t>This allows time calculations with formulas, such as the time logic: (EndTime - BeginTime)*24 = hours between two times.</t>
  </si>
  <si>
    <t>Many formulas use Logical Tests, such as Single Condition, AND, OR, NOT, BETWEEN, Contains, Logical Tests and more…</t>
  </si>
  <si>
    <t>22)</t>
  </si>
  <si>
    <t>There are over 450 built-in functions in the worksheet. You do not need to know how or when to use all those functions. But you will have to learn the functions that are used in your field, and know the concept behind each function so that you can apply them creatively to solve various problems.</t>
  </si>
  <si>
    <t>Examples of knowing the concept of the function:</t>
  </si>
  <si>
    <t>Counting numbers? COUNT function</t>
  </si>
  <si>
    <t>Count empty cells? COUNTBLANK function</t>
  </si>
  <si>
    <t xml:space="preserve">Count text? </t>
  </si>
  <si>
    <t>rad</t>
  </si>
  <si>
    <t>fun</t>
  </si>
  <si>
    <t>text</t>
  </si>
  <si>
    <t>June</t>
  </si>
  <si>
    <t>Chantel</t>
  </si>
  <si>
    <t>Yes</t>
  </si>
  <si>
    <t>Zero Length Test String</t>
  </si>
  <si>
    <t>Note:</t>
  </si>
  <si>
    <t>Date1</t>
  </si>
  <si>
    <t>Date2</t>
  </si>
  <si>
    <t>Date3</t>
  </si>
  <si>
    <t>Date4</t>
  </si>
  <si>
    <t>Count Text:</t>
  </si>
  <si>
    <t>Count Not Empty:</t>
  </si>
  <si>
    <t>N 60 contains space</t>
  </si>
  <si>
    <t>Count Numbers:</t>
  </si>
  <si>
    <t>COUNTA to count non-empty cells, or COUNTIFS(criteria_range,"*") to count text</t>
  </si>
  <si>
    <t>Lookup tax, commission or discount rate in a lookup table with first column sorted? LOOKUP</t>
  </si>
  <si>
    <t>Round a number to the penny position? ROUND</t>
  </si>
  <si>
    <t>Lookup row or column? XLOOKUP</t>
  </si>
  <si>
    <t>Compare two lists? XMATCH. Then ISNUMBER for "In Both" and ISNA for "In One Only".</t>
  </si>
  <si>
    <t>From Serial Number Date, jump forward, or backwards a specified number of months? EDATE</t>
  </si>
  <si>
    <t>Extract text before or after a delimiter? TEXTBEFORE or TEXTAFTER</t>
  </si>
  <si>
    <t>Bonus ($)</t>
  </si>
  <si>
    <t>Your Sales</t>
  </si>
  <si>
    <t>Get bonus?</t>
  </si>
  <si>
    <t>Bonus Hurdle (Equal to or Bigger) ($)</t>
  </si>
  <si>
    <t>Imported From Database</t>
  </si>
  <si>
    <t>Default Alignment Indicates Data Type:</t>
  </si>
  <si>
    <t>541.95</t>
  </si>
  <si>
    <t>127.01</t>
  </si>
  <si>
    <t>719.34</t>
  </si>
  <si>
    <t>95.41</t>
  </si>
  <si>
    <t>339.27</t>
  </si>
  <si>
    <t>Numbers</t>
  </si>
  <si>
    <t>Multiple</t>
  </si>
  <si>
    <t>Commission Rate</t>
  </si>
  <si>
    <t>Formulas do not "see" or act on Number Formatting.</t>
  </si>
  <si>
    <t>Units Sold</t>
  </si>
  <si>
    <t>Price per Unit</t>
  </si>
  <si>
    <t>Text</t>
  </si>
  <si>
    <t>Convert text number to number (any math operation)</t>
  </si>
  <si>
    <t>Formulas by Data Type:</t>
  </si>
  <si>
    <r>
      <t xml:space="preserve">Number Formulas </t>
    </r>
    <r>
      <rPr>
        <sz val="11"/>
        <color theme="1"/>
        <rFont val="Aptos Narrow"/>
        <family val="2"/>
        <scheme val="minor"/>
      </rPr>
      <t>deliver numbers results (numbers, times, dates)</t>
    </r>
  </si>
  <si>
    <r>
      <t xml:space="preserve">Text Formulas </t>
    </r>
    <r>
      <rPr>
        <sz val="11"/>
        <color theme="1"/>
        <rFont val="Aptos Narrow"/>
        <family val="2"/>
        <scheme val="minor"/>
      </rPr>
      <t>deliver text results</t>
    </r>
  </si>
  <si>
    <r>
      <t xml:space="preserve">Logical Formulas </t>
    </r>
    <r>
      <rPr>
        <sz val="11"/>
        <color theme="1"/>
        <rFont val="Aptos Narrow"/>
        <family val="2"/>
        <scheme val="minor"/>
      </rPr>
      <t>deliver logical values, or Boolean values (TRUE or a FALSE)</t>
    </r>
  </si>
  <si>
    <t>In Finance, you may need to calculate a monthly payment on a loan? PMT. Other important functions in Finance: FV, PV, NPV, XNPV, RRI and more.</t>
  </si>
  <si>
    <t>In Statistics / Analytics, you may need to randomly generate a bell curve variable or a binomial variable using NORM.INV(RAND(),mean,standardDeviation)) or BINOM.INV(trials,probility_s,RAND())</t>
  </si>
  <si>
    <t>Many more…</t>
  </si>
  <si>
    <t>Round 43.687 to the penny with: ROUND(43.687 ,2) = 43.69. Round 43.687 to the dollar with: ROUND(43.687 ,0) = 44.</t>
  </si>
  <si>
    <r>
      <rPr>
        <b/>
        <sz val="11"/>
        <color theme="1"/>
        <rFont val="Aptos Narrow"/>
        <family val="2"/>
        <scheme val="minor"/>
      </rPr>
      <t>Goal:</t>
    </r>
    <r>
      <rPr>
        <sz val="11"/>
        <color theme="1"/>
        <rFont val="Aptos Narrow"/>
        <family val="2"/>
        <scheme val="minor"/>
      </rPr>
      <t xml:space="preserve"> Calculate tax for each sales amount, then add</t>
    </r>
  </si>
  <si>
    <t>Tax Amount</t>
  </si>
  <si>
    <t>Total Tax From Excel Table</t>
  </si>
  <si>
    <t>Total Tax calculated in single cell</t>
  </si>
  <si>
    <t>Use if you have to send a</t>
  </si>
  <si>
    <t>Use when you will add new records to your table.</t>
  </si>
  <si>
    <t>solution to someone</t>
  </si>
  <si>
    <t>You still must lock references, but formulas</t>
  </si>
  <si>
    <t>without M365 Excel.</t>
  </si>
  <si>
    <t>2) Did not need to manually copy the formula.</t>
  </si>
  <si>
    <t>are automatically copied down column.</t>
  </si>
  <si>
    <t>3) Editing a formula is faster and easier.</t>
  </si>
  <si>
    <t>What you must know to create efficient Excel worksheet formula solutions:</t>
  </si>
  <si>
    <t>Logical</t>
  </si>
  <si>
    <t>Number</t>
  </si>
  <si>
    <t>Answer:</t>
  </si>
  <si>
    <t>Date</t>
  </si>
  <si>
    <t>1/32/2024</t>
  </si>
  <si>
    <t>43..69</t>
  </si>
  <si>
    <t>treu</t>
  </si>
  <si>
    <t>Typing error</t>
  </si>
  <si>
    <t>Required</t>
  </si>
  <si>
    <t>No typing error</t>
  </si>
  <si>
    <r>
      <t xml:space="preserve"> Defined Name to define a cell:</t>
    </r>
    <r>
      <rPr>
        <b/>
        <sz val="11"/>
        <color theme="1"/>
        <rFont val="Aptos Narrow"/>
        <family val="2"/>
        <scheme val="minor"/>
      </rPr>
      <t xml:space="preserve">
CallRepConditionAnswer </t>
    </r>
    <r>
      <rPr>
        <sz val="11"/>
        <color theme="1"/>
        <rFont val="Aptos Narrow"/>
        <family val="2"/>
        <scheme val="minor"/>
      </rPr>
      <t>='Ch12(31-34an)'!$G$9</t>
    </r>
    <r>
      <rPr>
        <b/>
        <sz val="11"/>
        <color theme="1"/>
        <rFont val="Aptos Narrow"/>
        <family val="2"/>
        <scheme val="minor"/>
      </rPr>
      <t xml:space="preserve">
</t>
    </r>
    <r>
      <rPr>
        <sz val="11"/>
        <color theme="1"/>
        <rFont val="Aptos Narrow"/>
        <family val="2"/>
        <scheme val="minor"/>
      </rPr>
      <t xml:space="preserve">
Defined Name to define formula:
</t>
    </r>
    <r>
      <rPr>
        <b/>
        <sz val="11"/>
        <color theme="1"/>
        <rFont val="Aptos Narrow"/>
        <family val="2"/>
        <scheme val="minor"/>
      </rPr>
      <t>LookupPicture</t>
    </r>
    <r>
      <rPr>
        <sz val="11"/>
        <color theme="1"/>
        <rFont val="Aptos Narrow"/>
        <family val="2"/>
        <scheme val="minor"/>
      </rPr>
      <t xml:space="preserve"> =XLOOKUP('Ch14(38-40)'!$B$6,'Ch14(38-40)'!$B$9:$B$12,'Ch14(38-40)'!$D$9:$D$12)</t>
    </r>
  </si>
  <si>
    <t>Sales Rep</t>
  </si>
  <si>
    <t>Abby</t>
  </si>
  <si>
    <t>Max</t>
  </si>
  <si>
    <t>Shelladawn</t>
  </si>
  <si>
    <t>Dean</t>
  </si>
  <si>
    <t>What Products Did They Sell Last Week?</t>
  </si>
  <si>
    <t>Carlota</t>
  </si>
  <si>
    <t>Sunset</t>
  </si>
  <si>
    <t>Sunshine</t>
  </si>
  <si>
    <t>Aspen</t>
  </si>
  <si>
    <t>Beaut</t>
  </si>
  <si>
    <t>Formula must be copied and it needs locked (absolute) and relative cell references:</t>
  </si>
  <si>
    <t>Formula Goal #2:</t>
  </si>
  <si>
    <t xml:space="preserve">The only way to conditionally format a row in a table based on a condition in the record is to use a Mixed Cell Reference with Column Locked. </t>
  </si>
  <si>
    <t>Conditionally format each row with the designated product:</t>
  </si>
  <si>
    <t>Excel worksheet formulas perform math, logical or data manipulation operation to create an answer.</t>
  </si>
  <si>
    <t>@ symbol (Implicit Intersection Operator)</t>
  </si>
  <si>
    <t>Types of Formulas: 1) Data Type, 2) Calculation Type</t>
  </si>
  <si>
    <t>23)</t>
  </si>
  <si>
    <t>1) Did not need to lock cell references.</t>
  </si>
  <si>
    <t>Dynamic Spilled Array Formulas Notes:</t>
  </si>
  <si>
    <t>Goal #1:</t>
  </si>
  <si>
    <t>Commission Paid =
Rate * Sales</t>
  </si>
  <si>
    <r>
      <rPr>
        <b/>
        <sz val="11"/>
        <color theme="1"/>
        <rFont val="Aptos Narrow"/>
        <family val="2"/>
        <scheme val="minor"/>
      </rPr>
      <t>Goal :</t>
    </r>
    <r>
      <rPr>
        <sz val="11"/>
        <color theme="1"/>
        <rFont val="Aptos Narrow"/>
        <family val="2"/>
        <scheme val="minor"/>
      </rPr>
      <t xml:space="preserve"> Calculate the tax to be paid if the sales amount is $100 and the tax rate is 5%</t>
    </r>
  </si>
  <si>
    <t>Total Sales Amount = Price * Units</t>
  </si>
  <si>
    <t>Use because of these advantages:</t>
  </si>
  <si>
    <t>Single Input-Output Formulas Notes:</t>
  </si>
  <si>
    <t>Single Input-Output Formulas</t>
  </si>
  <si>
    <t>Dynamic Spilled Array Formulas</t>
  </si>
  <si>
    <t>Incorrect:</t>
  </si>
  <si>
    <t>Each Amount Must Be Rounded!</t>
  </si>
  <si>
    <t xml:space="preserve">Modes Of Cell Editing (lower left of status bar): Ready (Before cell is in Edit Mode) Enter ( After equal sign is created - can use arrows to get cell reference), Edit (Arrow or Mouse is being used to enter cell references into formula) , Point (Arrow key moves through formula, not to get cell references) </t>
  </si>
  <si>
    <t>Lookup functions allow you to accomplish the common task of looking something up, making a match, and the returning a value  to a cell or a formula. Functions such as XLOOKUP, LOOKUP, FILTER and others are important lookup functions</t>
  </si>
  <si>
    <t>Sum with conditions? SUMIFS function</t>
  </si>
  <si>
    <t>Lookup product, student ID, shipping company? XLOOKUP</t>
  </si>
  <si>
    <t>The ROUND function must be used in situations where 1) you are required to round (like with Money), 2) there are extraneous deciamls, and 3) the amounts will be used in subsequent formulas.</t>
  </si>
  <si>
    <t>Serial time dates use Number Formatting to display times, but under the Number Formatting is a number that represents the proportion of a 24 hour day.</t>
  </si>
  <si>
    <t>Price</t>
  </si>
  <si>
    <t>Nearest:</t>
  </si>
  <si>
    <t>MROUND function</t>
  </si>
  <si>
    <t>Round to nearest penny</t>
  </si>
  <si>
    <t>Round to nearest dollar</t>
  </si>
  <si>
    <t>Time Value</t>
  </si>
  <si>
    <t>Sales ($)</t>
  </si>
  <si>
    <t>CEILING.MATH and FLOOR.MATH functions</t>
  </si>
  <si>
    <t>Down to nearest</t>
  </si>
  <si>
    <t>% Grade</t>
  </si>
  <si>
    <t>Round to nearest tenth of a %</t>
  </si>
  <si>
    <t>Invoice Due Date</t>
  </si>
  <si>
    <t>Today</t>
  </si>
  <si>
    <t>Days Past Due</t>
  </si>
  <si>
    <t>Start</t>
  </si>
  <si>
    <t>End</t>
  </si>
  <si>
    <t>Days:</t>
  </si>
  <si>
    <t>Holidays</t>
  </si>
  <si>
    <t>Hourly Wage ($)</t>
  </si>
  <si>
    <t>Start Time</t>
  </si>
  <si>
    <t>End Time</t>
  </si>
  <si>
    <t>Hours Worked</t>
  </si>
  <si>
    <t>Gross Pay ($)</t>
  </si>
  <si>
    <r>
      <rPr>
        <b/>
        <sz val="11"/>
        <color theme="1"/>
        <rFont val="Aptos Narrow"/>
        <family val="2"/>
        <scheme val="minor"/>
      </rPr>
      <t>Goal:</t>
    </r>
    <r>
      <rPr>
        <sz val="11"/>
        <color theme="1"/>
        <rFont val="Aptos Narrow"/>
        <family val="2"/>
        <scheme val="minor"/>
      </rPr>
      <t xml:space="preserve"> Calculate number of days that the invoice is past due</t>
    </r>
  </si>
  <si>
    <r>
      <rPr>
        <b/>
        <sz val="11"/>
        <color theme="1"/>
        <rFont val="Aptos Narrow"/>
        <family val="2"/>
        <scheme val="minor"/>
      </rPr>
      <t>Goal:</t>
    </r>
    <r>
      <rPr>
        <sz val="11"/>
        <color theme="1"/>
        <rFont val="Aptos Narrow"/>
        <family val="2"/>
        <scheme val="minor"/>
      </rPr>
      <t xml:space="preserve"> Calculate number of workdays (Fri. &amp; Sat. non-workdays)</t>
    </r>
  </si>
  <si>
    <r>
      <rPr>
        <b/>
        <sz val="11"/>
        <color theme="1"/>
        <rFont val="Aptos Narrow"/>
        <family val="2"/>
        <scheme val="minor"/>
      </rPr>
      <t>Goal:</t>
    </r>
    <r>
      <rPr>
        <sz val="11"/>
        <color theme="1"/>
        <rFont val="Aptos Narrow"/>
        <family val="2"/>
        <scheme val="minor"/>
      </rPr>
      <t xml:space="preserve"> Calculate the rounded gross pay amount</t>
    </r>
  </si>
  <si>
    <r>
      <rPr>
        <b/>
        <sz val="11"/>
        <color theme="1"/>
        <rFont val="Aptos Narrow"/>
        <family val="2"/>
        <scheme val="minor"/>
      </rPr>
      <t>Goal:</t>
    </r>
    <r>
      <rPr>
        <sz val="11"/>
        <color theme="1"/>
        <rFont val="Aptos Narrow"/>
        <family val="2"/>
        <scheme val="minor"/>
      </rPr>
      <t xml:space="preserve"> Round time value up to nearest 15 mintes and then calculate the rounded gross pay amount</t>
    </r>
  </si>
  <si>
    <t>The importance of default alignment: It is important to instantly recognize default alignment to help detect errors, such as text numbers that cannot be summed with the SUM function (as shown below).</t>
  </si>
  <si>
    <t>The full list of formula elements are listed below:</t>
  </si>
  <si>
    <t>Example of Absolute Cell Reference</t>
  </si>
  <si>
    <t>Example of Mixed Cell Reference</t>
  </si>
  <si>
    <t>Operators in Excel</t>
  </si>
  <si>
    <t>Examples of types of formulas by data type: Number, Text, Logical.</t>
  </si>
  <si>
    <t>Examples of types of formulas by calculation type: Aggregate, Single Input-Output, Array (Dynamic Spilled Array Formulas, Scalar Array Formula), Excel Table:</t>
  </si>
  <si>
    <t>Rounding numbers with ROUND, MROUND, CEILING.MATH and FLOOR.MATH</t>
  </si>
  <si>
    <t>…</t>
  </si>
  <si>
    <t>24)</t>
  </si>
  <si>
    <t>25)</t>
  </si>
  <si>
    <t>26)</t>
  </si>
  <si>
    <t>27)</t>
  </si>
  <si>
    <t>Excel Table Column Formula Notes:</t>
  </si>
  <si>
    <t>TaxTable[Tax Amount] = Refers to entire TaxAmount column in the Excel Table named TaxTable.</t>
  </si>
  <si>
    <t>TaxTable = Excel Table Name.</t>
  </si>
  <si>
    <r>
      <rPr>
        <b/>
        <sz val="11"/>
        <color theme="1"/>
        <rFont val="Aptos Narrow"/>
        <family val="2"/>
        <scheme val="minor"/>
      </rPr>
      <t>Table formula nomenclature</t>
    </r>
    <r>
      <rPr>
        <sz val="11"/>
        <color theme="1"/>
        <rFont val="Aptos Narrow"/>
        <family val="2"/>
        <scheme val="minor"/>
      </rPr>
      <t xml:space="preserve"> are references to Excel Table objects, such as:</t>
    </r>
  </si>
  <si>
    <t>Examples of formulas that use table formula nomenclature:</t>
  </si>
  <si>
    <r>
      <rPr>
        <b/>
        <sz val="11"/>
        <color theme="1"/>
        <rFont val="Aptos Narrow"/>
        <family val="2"/>
        <scheme val="minor"/>
      </rPr>
      <t>=SUM(TaxTable[Tax Amount])</t>
    </r>
    <r>
      <rPr>
        <sz val="11"/>
        <color theme="1"/>
        <rFont val="Aptos Narrow"/>
        <family val="2"/>
        <scheme val="minor"/>
      </rPr>
      <t xml:space="preserve"> is an aggregate formula that adds all the values from the TaxAmount column in the Excel Table named TaxTable.</t>
    </r>
  </si>
  <si>
    <r>
      <rPr>
        <b/>
        <sz val="11"/>
        <color theme="1"/>
        <rFont val="Aptos Narrow"/>
        <family val="2"/>
        <scheme val="minor"/>
      </rPr>
      <t>=ROUND([@Sales]*$I$6,2)</t>
    </r>
    <r>
      <rPr>
        <sz val="11"/>
        <color theme="1"/>
        <rFont val="Aptos Narrow"/>
        <family val="2"/>
        <scheme val="minor"/>
      </rPr>
      <t xml:space="preserve"> is an Excel Table column formula that calculates the tax amount in each row of an Excel Table.</t>
    </r>
  </si>
  <si>
    <t>Excel Table column formula notes:</t>
  </si>
  <si>
    <r>
      <rPr>
        <b/>
        <sz val="11"/>
        <color theme="1"/>
        <rFont val="Aptos Narrow"/>
        <family val="2"/>
        <scheme val="minor"/>
      </rPr>
      <t>5) Excel Table Formulas</t>
    </r>
    <r>
      <rPr>
        <sz val="11"/>
        <color theme="1"/>
        <rFont val="Aptos Narrow"/>
        <family val="2"/>
        <scheme val="minor"/>
      </rPr>
      <t xml:space="preserve"> are formulas that reference an Excel Table. The reason that we use Excel Table Formulas is that when new records are added to or removed from an Excel Table, all formulas and Excel features referencing the Excel Table will reflect the updated data.</t>
    </r>
  </si>
  <si>
    <t>1) The Excel Table feature automatically copies them down the column.</t>
  </si>
  <si>
    <t>2)They are Single Input-Output Formulas.</t>
  </si>
  <si>
    <t>3) If you refer to a cell that needs to be locked, you must use the F4 key to lock the cell.</t>
  </si>
  <si>
    <t>4) Dynamic Spilled Array Formulas (DSARs) are not allowed in Excel Table columns because the auto-copy feature of the Excel Table is in conflict with the auto-spilling of the DSAFs.</t>
  </si>
  <si>
    <t>[@Sales] refers to the current row value in the Excel Table's Sales column. The @ operator is called Implicit Intersection Operator.</t>
  </si>
  <si>
    <t>Excel Table Column Formulas</t>
  </si>
  <si>
    <t xml:space="preserve"> Excel Table Formula</t>
  </si>
  <si>
    <t>Scalar Array Formula</t>
  </si>
  <si>
    <t>SalesRep</t>
  </si>
  <si>
    <t>Luong</t>
  </si>
  <si>
    <t>Sioux</t>
  </si>
  <si>
    <t>Bree</t>
  </si>
  <si>
    <t>Comparative Operators:</t>
  </si>
  <si>
    <t>Credit Rating</t>
  </si>
  <si>
    <t>Count Sales</t>
  </si>
  <si>
    <t>Single Condition</t>
  </si>
  <si>
    <t>Logical functions:</t>
  </si>
  <si>
    <t>IF and IFS function</t>
  </si>
  <si>
    <t>FILTER and SWITCH</t>
  </si>
  <si>
    <t>Type of Logical Tests:</t>
  </si>
  <si>
    <t>More…</t>
  </si>
  <si>
    <t>Equal: =</t>
  </si>
  <si>
    <t>Not Equal: &lt;&gt;</t>
  </si>
  <si>
    <t>Greater than: &gt;</t>
  </si>
  <si>
    <t>Greater than or equal to: &gt;=</t>
  </si>
  <si>
    <t>Less than: &lt;</t>
  </si>
  <si>
    <t>Less than or equal to: &lt;=</t>
  </si>
  <si>
    <t>AND Logical Test (All TRUE)</t>
  </si>
  <si>
    <t>Condition 1</t>
  </si>
  <si>
    <t>Condition 2</t>
  </si>
  <si>
    <t>Result</t>
  </si>
  <si>
    <t>Formula</t>
  </si>
  <si>
    <t>Task</t>
  </si>
  <si>
    <t>Ave. Sales</t>
  </si>
  <si>
    <t>&lt;&gt;Chantel</t>
  </si>
  <si>
    <t>Add Sales for L OR S</t>
  </si>
  <si>
    <t>Count sales for B OR Q</t>
  </si>
  <si>
    <t>43</t>
  </si>
  <si>
    <t>Is the value a number?</t>
  </si>
  <si>
    <t>Three ways to use Comparative Operators:</t>
  </si>
  <si>
    <t>1) Put condition in cell, like:   &lt;&gt;Chantel</t>
  </si>
  <si>
    <t>2) Direct logical test like:   K3:K23=D6   or   D12&gt;0</t>
  </si>
  <si>
    <t>3) Join operator to condition, like:   "&gt;"&amp;E7</t>
  </si>
  <si>
    <t>Are both greater than zero?</t>
  </si>
  <si>
    <t>Add sales for B OR Q</t>
  </si>
  <si>
    <t>Minimum sale by B</t>
  </si>
  <si>
    <t>NOT Logical Test
(not equal)</t>
  </si>
  <si>
    <t>OR Logical Test
(1 or more TRUE over 1 column)</t>
  </si>
  <si>
    <t>OR Logical Test
(1 or more TRUE over 2 columns)</t>
  </si>
  <si>
    <t>ISNUMBER, ISNA and
other IS functions</t>
  </si>
  <si>
    <t>AND, OR and
other aggregate logical functions</t>
  </si>
  <si>
    <t>SUMIFS, MINIFS and
other IFS functions</t>
  </si>
  <si>
    <t>EmployeeID</t>
  </si>
  <si>
    <t>First</t>
  </si>
  <si>
    <t>Last</t>
  </si>
  <si>
    <t>StartDate</t>
  </si>
  <si>
    <t>Department</t>
  </si>
  <si>
    <t>4369-9084</t>
  </si>
  <si>
    <t>Chin</t>
  </si>
  <si>
    <t>Accounting</t>
  </si>
  <si>
    <t>4369-4774</t>
  </si>
  <si>
    <t>Ty</t>
  </si>
  <si>
    <t>Smithe</t>
  </si>
  <si>
    <t>Finance</t>
  </si>
  <si>
    <t>Gigi</t>
  </si>
  <si>
    <t>4369-3979</t>
  </si>
  <si>
    <t>Kip</t>
  </si>
  <si>
    <t>Hensel</t>
  </si>
  <si>
    <t>Maintenance</t>
  </si>
  <si>
    <t>Taxable Amount</t>
  </si>
  <si>
    <t>XLOOKUP to lookup a record:</t>
  </si>
  <si>
    <t>LOOKUP to lookup tax from sorted A-Z tax table:</t>
  </si>
  <si>
    <t>FILTER to use one lookup value to return multiple items:</t>
  </si>
  <si>
    <t>XMATCH to compare two lists:</t>
  </si>
  <si>
    <t>List 1</t>
  </si>
  <si>
    <t>List 2</t>
  </si>
  <si>
    <t>Sheliadawn</t>
  </si>
  <si>
    <t>Frank</t>
  </si>
  <si>
    <t>Bobbi</t>
  </si>
  <si>
    <t>Miki</t>
  </si>
  <si>
    <t>Pops</t>
  </si>
  <si>
    <t>Just in List 2?</t>
  </si>
  <si>
    <t>In both?</t>
  </si>
  <si>
    <t>Names just in List 2?</t>
  </si>
  <si>
    <t>Names in both?</t>
  </si>
  <si>
    <t>Example 1:</t>
  </si>
  <si>
    <t>Time In</t>
  </si>
  <si>
    <t>Time Out</t>
  </si>
  <si>
    <r>
      <rPr>
        <b/>
        <sz val="11"/>
        <color theme="1"/>
        <rFont val="Aptos Narrow"/>
        <family val="2"/>
        <scheme val="minor"/>
      </rPr>
      <t>2) Reference Operators</t>
    </r>
    <r>
      <rPr>
        <sz val="11"/>
        <color theme="1"/>
        <rFont val="Aptos Narrow"/>
        <family val="2"/>
        <scheme val="minor"/>
      </rPr>
      <t>: colon, space, comma, hash tag, @ symbol,</t>
    </r>
  </si>
  <si>
    <t xml:space="preserve">    table formula nomenclature</t>
  </si>
  <si>
    <t>Customer</t>
  </si>
  <si>
    <t>SW</t>
  </si>
  <si>
    <t>PCC</t>
  </si>
  <si>
    <t>T</t>
  </si>
  <si>
    <t>QFC</t>
  </si>
  <si>
    <t>WM</t>
  </si>
  <si>
    <t>Sales ($K)</t>
  </si>
  <si>
    <t>Sales ($K) &gt;</t>
  </si>
  <si>
    <t>CR &gt;</t>
  </si>
  <si>
    <t>OR Count</t>
  </si>
  <si>
    <t>Example 2:</t>
  </si>
  <si>
    <t>Example 3:</t>
  </si>
  <si>
    <t>Units</t>
  </si>
  <si>
    <t>50&lt;Sales?</t>
  </si>
  <si>
    <t>Must use ( ) to get - to happen before *</t>
  </si>
  <si>
    <t>&lt; is evaluated after *, so no () needed</t>
  </si>
  <si>
    <t>Must use ( ) to get + to happen before &gt;</t>
  </si>
  <si>
    <t>Types of Formulas: 1) Data Type, 2) Calculation Type.</t>
  </si>
  <si>
    <t>Rounding numbers.</t>
  </si>
  <si>
    <t>Date and Time Number Formatting and Formulas</t>
  </si>
  <si>
    <t>Topics in Video:</t>
  </si>
  <si>
    <t>What formula do</t>
  </si>
  <si>
    <t>Keyboard shortcuts are fast</t>
  </si>
  <si>
    <t>How default alignment helps</t>
  </si>
  <si>
    <t>Number Formatting</t>
  </si>
  <si>
    <t>Formulas &amp; Number Formatting</t>
  </si>
  <si>
    <t>Formula elements</t>
  </si>
  <si>
    <t>Operators and order of operations</t>
  </si>
  <si>
    <t>Modes Of Cell Editing</t>
  </si>
  <si>
    <t>Logical Tests in Formulas</t>
  </si>
  <si>
    <t>Lookup Functions</t>
  </si>
  <si>
    <t>Errors</t>
  </si>
  <si>
    <t>What worksheet formula do:</t>
  </si>
  <si>
    <t>Perform math, logical or data manipulation operation to create an answer</t>
  </si>
  <si>
    <t>The only feature in Excel that updates instantly when source data changes</t>
  </si>
  <si>
    <t>Starting a worksheet formula</t>
  </si>
  <si>
    <t>Starting a worksheet formula:</t>
  </si>
  <si>
    <t>Keyboard shortcuts are fast:</t>
  </si>
  <si>
    <t>They help you create formulas and formula models quickly, like with:</t>
  </si>
  <si>
    <r>
      <rPr>
        <b/>
        <sz val="11"/>
        <color theme="1"/>
        <rFont val="Aptos"/>
        <family val="2"/>
      </rPr>
      <t>Alt + =</t>
    </r>
    <r>
      <rPr>
        <sz val="11"/>
        <color theme="1"/>
        <rFont val="Aptos"/>
        <family val="2"/>
      </rPr>
      <t xml:space="preserve"> to invoke the SUM function</t>
    </r>
  </si>
  <si>
    <r>
      <rPr>
        <b/>
        <sz val="11"/>
        <color theme="1"/>
        <rFont val="Aptos"/>
        <family val="2"/>
      </rPr>
      <t>F4</t>
    </r>
    <r>
      <rPr>
        <sz val="11"/>
        <color theme="1"/>
        <rFont val="Aptos"/>
        <family val="2"/>
      </rPr>
      <t xml:space="preserve"> to add and toggle through the different types of cell references</t>
    </r>
  </si>
  <si>
    <r>
      <rPr>
        <b/>
        <sz val="11"/>
        <color theme="1"/>
        <rFont val="Aptos"/>
        <family val="2"/>
      </rPr>
      <t>Ctrl + Shift + ↓</t>
    </r>
    <r>
      <rPr>
        <sz val="11"/>
        <color theme="1"/>
        <rFont val="Aptos"/>
        <family val="2"/>
      </rPr>
      <t xml:space="preserve"> to select a range in a column.</t>
    </r>
  </si>
  <si>
    <t>Text Number</t>
  </si>
  <si>
    <t>Text Date</t>
  </si>
  <si>
    <t>Serial Number Date</t>
  </si>
  <si>
    <t>Text Time</t>
  </si>
  <si>
    <t>Serial Number Time</t>
  </si>
  <si>
    <t>12/27/2024</t>
  </si>
  <si>
    <t>10:25 PM</t>
  </si>
  <si>
    <t>Convert any text number (number, time, date) back to a number with any math operation or a functions.</t>
  </si>
  <si>
    <t>If a formula input can change, put it in a cell, label it, and refer to it in the formula with a cell reference.</t>
  </si>
  <si>
    <t>Excel's Golden Rule:</t>
  </si>
  <si>
    <r>
      <t xml:space="preserve">Goal : </t>
    </r>
    <r>
      <rPr>
        <sz val="11"/>
        <color theme="1"/>
        <rFont val="Aptos Narrow"/>
        <family val="2"/>
        <scheme val="minor"/>
      </rPr>
      <t>If the sales for your company this year are $230,000, and this is 15% higher than last year's sales, what were last year's sales?</t>
    </r>
  </si>
  <si>
    <r>
      <t xml:space="preserve">Goal : </t>
    </r>
    <r>
      <rPr>
        <sz val="11"/>
        <color theme="1"/>
        <rFont val="Aptos Narrow"/>
        <family val="2"/>
        <scheme val="minor"/>
      </rPr>
      <t>If you invest $25,000 in a five year CD and the interest rate is 6%, compounded once a year, what will the CD be worth in five years?</t>
    </r>
  </si>
  <si>
    <t>Interest Rate</t>
  </si>
  <si>
    <t>Years</t>
  </si>
  <si>
    <r>
      <t xml:space="preserve">You can use the formula: </t>
    </r>
    <r>
      <rPr>
        <b/>
        <sz val="11"/>
        <color theme="1"/>
        <rFont val="Aptos Narrow"/>
        <family val="2"/>
        <scheme val="minor"/>
      </rPr>
      <t>Begin = End/(1+%Change)</t>
    </r>
  </si>
  <si>
    <r>
      <t xml:space="preserve">You can use the formula: </t>
    </r>
    <r>
      <rPr>
        <b/>
        <sz val="11"/>
        <color theme="1"/>
        <rFont val="Aptos Narrow"/>
        <family val="2"/>
        <scheme val="minor"/>
      </rPr>
      <t>InvestAmount*(1+Rate)^Years</t>
    </r>
  </si>
  <si>
    <t>End/(1+%Increase) = Begin</t>
  </si>
  <si>
    <t>100 + 100*10% = 110</t>
  </si>
  <si>
    <t>100*(1+10%) = 110</t>
  </si>
  <si>
    <t>110/(1+10%) = 100</t>
  </si>
  <si>
    <r>
      <t>LARGE((V5:Z5</t>
    </r>
    <r>
      <rPr>
        <b/>
        <sz val="16"/>
        <color theme="1"/>
        <rFont val="Aptos Narrow"/>
        <family val="2"/>
        <scheme val="minor"/>
      </rPr>
      <t>,</t>
    </r>
    <r>
      <rPr>
        <sz val="11"/>
        <color theme="1"/>
        <rFont val="Aptos Narrow"/>
        <family val="2"/>
        <scheme val="minor"/>
      </rPr>
      <t>Sales),3)</t>
    </r>
  </si>
  <si>
    <t>Tax</t>
  </si>
  <si>
    <t>Dynamic Spilled Array Formulas don't usually</t>
  </si>
  <si>
    <t>need lock any references:</t>
  </si>
  <si>
    <t>List products that each employee sold last week</t>
  </si>
  <si>
    <t>Dynamic Spilled Array Formulas to build a budget</t>
  </si>
  <si>
    <t>Jan</t>
  </si>
  <si>
    <t>Feb</t>
  </si>
  <si>
    <t>Mar</t>
  </si>
  <si>
    <t>Apr</t>
  </si>
  <si>
    <t>May</t>
  </si>
  <si>
    <t>Jun</t>
  </si>
  <si>
    <t>Expense as a % of Sales</t>
  </si>
  <si>
    <t>COGS</t>
  </si>
  <si>
    <t>Salaries and Wages</t>
  </si>
  <si>
    <t xml:space="preserve">Rent </t>
  </si>
  <si>
    <t xml:space="preserve">Supplies </t>
  </si>
  <si>
    <t xml:space="preserve">Depreciation </t>
  </si>
  <si>
    <t>Utilities</t>
  </si>
  <si>
    <t>Advertising</t>
  </si>
  <si>
    <t xml:space="preserve">Administration </t>
  </si>
  <si>
    <t>Phone and Internet</t>
  </si>
  <si>
    <t>Repairs &amp; Maintenance</t>
  </si>
  <si>
    <t>Travel</t>
  </si>
  <si>
    <t xml:space="preserve">Interest </t>
  </si>
  <si>
    <t xml:space="preserve">Tax </t>
  </si>
  <si>
    <t>Total Expences</t>
  </si>
  <si>
    <t>Net Income</t>
  </si>
  <si>
    <t>Assumpion Table:</t>
  </si>
  <si>
    <t>Purchased: CSQuad-4396</t>
  </si>
  <si>
    <t>Text: Description from Invoice</t>
  </si>
  <si>
    <t>Lookup Code for Product</t>
  </si>
  <si>
    <t>Lookup Price</t>
  </si>
  <si>
    <t>ProductID</t>
  </si>
  <si>
    <t>Apsen</t>
  </si>
  <si>
    <t>Is text number equal to number, number?</t>
  </si>
  <si>
    <r>
      <rPr>
        <b/>
        <sz val="11"/>
        <color theme="1"/>
        <rFont val="Aptos Narrow"/>
        <family val="2"/>
        <scheme val="minor"/>
      </rPr>
      <t>Time Serial Number = Proporation of 24 hour day.</t>
    </r>
    <r>
      <rPr>
        <sz val="11"/>
        <color theme="1"/>
        <rFont val="Aptos Narrow"/>
        <family val="2"/>
        <scheme val="minor"/>
      </rPr>
      <t xml:space="preserve"> 8 AM =&gt; 8/24 = 1/3 = 0.333333333333333</t>
    </r>
  </si>
  <si>
    <r>
      <rPr>
        <b/>
        <sz val="11"/>
        <color theme="1"/>
        <rFont val="Aptos Narrow"/>
        <family val="2"/>
        <scheme val="minor"/>
      </rPr>
      <t>Date Serial Number = # days since Dec 31, 1899.</t>
    </r>
    <r>
      <rPr>
        <sz val="11"/>
        <color theme="1"/>
        <rFont val="Aptos Narrow"/>
        <family val="2"/>
        <scheme val="minor"/>
      </rPr>
      <t xml:space="preserve"> 1/1/1900 = 1, 12/30/2024 = 45656.</t>
    </r>
  </si>
  <si>
    <t>Circular reference</t>
  </si>
  <si>
    <t>4</t>
  </si>
  <si>
    <t>3</t>
  </si>
  <si>
    <t>2</t>
  </si>
  <si>
    <t>Goal 1:</t>
  </si>
  <si>
    <t>Goal 2:</t>
  </si>
  <si>
    <t>Student</t>
  </si>
  <si>
    <t>Student Name</t>
  </si>
  <si>
    <t>Chike</t>
  </si>
  <si>
    <t>Nori</t>
  </si>
  <si>
    <t>Mizuki</t>
  </si>
  <si>
    <t>In the Price column of the table below, create a spilled formula that can extract the ProductID from the Product ID From Manufacturer column and lookup the product price from the lookup table.</t>
  </si>
  <si>
    <t>In the Sales column of the table below, create a spilled formula that will calculate the Sales (Units x Price).</t>
  </si>
  <si>
    <t>Goal 3:</t>
  </si>
  <si>
    <t>Excel Table Formulas</t>
  </si>
  <si>
    <t>Tax Amount ($)</t>
  </si>
  <si>
    <t>Total ($)</t>
  </si>
  <si>
    <t>Employee</t>
  </si>
  <si>
    <t>Kenny</t>
  </si>
  <si>
    <t>Bauer</t>
  </si>
  <si>
    <t>Doosan</t>
  </si>
  <si>
    <t>DeVilbiss</t>
  </si>
  <si>
    <t>Emglo</t>
  </si>
  <si>
    <t>Gross Pay</t>
  </si>
  <si>
    <t>Amazon</t>
  </si>
  <si>
    <t>Class</t>
  </si>
  <si>
    <t>Grade</t>
  </si>
  <si>
    <t>Sioux Chin</t>
  </si>
  <si>
    <t>Acc 121</t>
  </si>
  <si>
    <t>Chantel Mimms</t>
  </si>
  <si>
    <t>Busn 216</t>
  </si>
  <si>
    <t>Business</t>
  </si>
  <si>
    <t>Dylan Franks</t>
  </si>
  <si>
    <t>Busn 101</t>
  </si>
  <si>
    <t>Acc 201</t>
  </si>
  <si>
    <t>Busn 218</t>
  </si>
  <si>
    <t>Eng 201</t>
  </si>
  <si>
    <t>English</t>
  </si>
  <si>
    <t>Econ 201</t>
  </si>
  <si>
    <t>Economics</t>
  </si>
  <si>
    <t>Busn 210</t>
  </si>
  <si>
    <t>Gigi Dmitri</t>
  </si>
  <si>
    <t>Econ 202</t>
  </si>
  <si>
    <t>Student Degree</t>
  </si>
  <si>
    <t>Busn Transfer</t>
  </si>
  <si>
    <t>AAS Business</t>
  </si>
  <si>
    <t>AAS Accounting</t>
  </si>
  <si>
    <t>BAS 4 Year</t>
  </si>
  <si>
    <t>Nori Ho</t>
  </si>
  <si>
    <t>Kenny Noline</t>
  </si>
  <si>
    <t>Dean Washington</t>
  </si>
  <si>
    <t>Chike Abo</t>
  </si>
  <si>
    <t>Mizuki Shiki</t>
  </si>
  <si>
    <t>Acc 455</t>
  </si>
  <si>
    <t>BI 348</t>
  </si>
  <si>
    <t>Acc 122</t>
  </si>
  <si>
    <t>Stats 350</t>
  </si>
  <si>
    <t>Eng 205</t>
  </si>
  <si>
    <t>D</t>
  </si>
  <si>
    <t>I</t>
  </si>
  <si>
    <t>Cost of Class ($)</t>
  </si>
  <si>
    <t>Cost Status</t>
  </si>
  <si>
    <t>Student Cost Status Lookup Table:</t>
  </si>
  <si>
    <t>Cost of class ($):</t>
  </si>
  <si>
    <t>Goal:</t>
  </si>
  <si>
    <r>
      <rPr>
        <b/>
        <sz val="11"/>
        <color theme="1"/>
        <rFont val="Aptos Narrow"/>
        <family val="2"/>
        <scheme val="minor"/>
      </rPr>
      <t xml:space="preserve">Goal: </t>
    </r>
    <r>
      <rPr>
        <sz val="11"/>
        <color theme="1"/>
        <rFont val="Aptos Narrow"/>
        <family val="2"/>
        <scheme val="minor"/>
      </rPr>
      <t>In the green cells below, create a budget Net Income Statement.</t>
    </r>
  </si>
  <si>
    <t>Tax Deduction</t>
  </si>
  <si>
    <t>Lindee</t>
  </si>
  <si>
    <t>Billy</t>
  </si>
  <si>
    <t>Mo</t>
  </si>
  <si>
    <t>Abdi</t>
  </si>
  <si>
    <t>Danny</t>
  </si>
  <si>
    <t>Osborn</t>
  </si>
  <si>
    <t>Phil</t>
  </si>
  <si>
    <t>Ann</t>
  </si>
  <si>
    <t>ShelaDawn</t>
  </si>
  <si>
    <t>Books in Library database</t>
  </si>
  <si>
    <t>Things Fall Apart</t>
  </si>
  <si>
    <t>Fairy tales</t>
  </si>
  <si>
    <t>The Divine Comedy</t>
  </si>
  <si>
    <t>The Epic Of Gilgamesh</t>
  </si>
  <si>
    <t>The Book Of Job</t>
  </si>
  <si>
    <t>One Thousand and One Nights</t>
  </si>
  <si>
    <t>Njál's Saga</t>
  </si>
  <si>
    <t>Pride and Prejudice</t>
  </si>
  <si>
    <t>Le Père Goriot</t>
  </si>
  <si>
    <t>Molloy, Malone Dies, The Unnamable, the trilogy</t>
  </si>
  <si>
    <t>The Decameron</t>
  </si>
  <si>
    <t>Ficciones</t>
  </si>
  <si>
    <t>Wuthering Heights</t>
  </si>
  <si>
    <t>The Stranger</t>
  </si>
  <si>
    <t>Poems</t>
  </si>
  <si>
    <t>Journey to the End of the Night</t>
  </si>
  <si>
    <t>Don Quijote De La Mancha</t>
  </si>
  <si>
    <t>The Canterbury Tales</t>
  </si>
  <si>
    <t>Stories</t>
  </si>
  <si>
    <t>Nostromo</t>
  </si>
  <si>
    <t>Great Expectations</t>
  </si>
  <si>
    <t>Jacques the Fatalist</t>
  </si>
  <si>
    <t>Berlin Alexanderplatz</t>
  </si>
  <si>
    <t>Crime and Punishment</t>
  </si>
  <si>
    <t>The Idiot</t>
  </si>
  <si>
    <t>The Possessed</t>
  </si>
  <si>
    <t>The Brothers Karamazov</t>
  </si>
  <si>
    <t>Middlemarch</t>
  </si>
  <si>
    <t>Invisible Man</t>
  </si>
  <si>
    <t>Medea</t>
  </si>
  <si>
    <t>Absalom, Absalom!</t>
  </si>
  <si>
    <t>The Sound and the Fury</t>
  </si>
  <si>
    <t>Madame Bovary</t>
  </si>
  <si>
    <t>Sentimental Education</t>
  </si>
  <si>
    <t>Gypsy Ballads</t>
  </si>
  <si>
    <t>One Hundred Years of Solitude</t>
  </si>
  <si>
    <t>Love in the Time of Cholera</t>
  </si>
  <si>
    <t>Faust</t>
  </si>
  <si>
    <t>Dead Souls</t>
  </si>
  <si>
    <t>The Tin Drum</t>
  </si>
  <si>
    <t>The Devil to Pay in the Backlands</t>
  </si>
  <si>
    <t>Hunger</t>
  </si>
  <si>
    <t>The Old Man and the Sea</t>
  </si>
  <si>
    <t>Iliad</t>
  </si>
  <si>
    <t>Odyssey</t>
  </si>
  <si>
    <t>A Doll's House</t>
  </si>
  <si>
    <t>Ulysses</t>
  </si>
  <si>
    <t>The Trial</t>
  </si>
  <si>
    <t>The Castle</t>
  </si>
  <si>
    <t>The recognition of Shakuntala</t>
  </si>
  <si>
    <t>The Sound of the Mountain</t>
  </si>
  <si>
    <t>Zorba the Greek</t>
  </si>
  <si>
    <t>Sons and Lovers</t>
  </si>
  <si>
    <t>Independent People</t>
  </si>
  <si>
    <t>The Golden Notebook</t>
  </si>
  <si>
    <t>Pippi Longstocking</t>
  </si>
  <si>
    <t>Diary of a Madman</t>
  </si>
  <si>
    <t>Children of Gebelawi</t>
  </si>
  <si>
    <t>Buddenbrooks</t>
  </si>
  <si>
    <t>The Magic Mountain</t>
  </si>
  <si>
    <t>Moby Dick</t>
  </si>
  <si>
    <t>Essays</t>
  </si>
  <si>
    <t>History</t>
  </si>
  <si>
    <t>Beloved</t>
  </si>
  <si>
    <t>The Tale of Genji</t>
  </si>
  <si>
    <t>The Man Without Qualities</t>
  </si>
  <si>
    <t>Lolita</t>
  </si>
  <si>
    <t>Nineteen Eighty-Four</t>
  </si>
  <si>
    <t>Metamorphoses</t>
  </si>
  <si>
    <t>The Book of Disquiet</t>
  </si>
  <si>
    <t>Tales</t>
  </si>
  <si>
    <t>In Search of Lost Time</t>
  </si>
  <si>
    <t>Gargantua and Pantagruel</t>
  </si>
  <si>
    <t>Pedro Páramo</t>
  </si>
  <si>
    <t>The Masnavi</t>
  </si>
  <si>
    <t>Midnight's Children</t>
  </si>
  <si>
    <t>Bostan</t>
  </si>
  <si>
    <t>Season of Migration to the North</t>
  </si>
  <si>
    <t>Blindness</t>
  </si>
  <si>
    <t>Hamlet</t>
  </si>
  <si>
    <t>King Lear</t>
  </si>
  <si>
    <t>Othello</t>
  </si>
  <si>
    <t>Oedipus the King</t>
  </si>
  <si>
    <t>The Red and the Black</t>
  </si>
  <si>
    <t>The Life And Opinions of Tristram Shandy</t>
  </si>
  <si>
    <t>Confessions of Zeno</t>
  </si>
  <si>
    <t>Gulliver's Travels</t>
  </si>
  <si>
    <t>War and Peace</t>
  </si>
  <si>
    <t>Anna Karenina</t>
  </si>
  <si>
    <t>The Death of Ivan Ilyich</t>
  </si>
  <si>
    <t>The Adventures of Huckleberry Finn</t>
  </si>
  <si>
    <t>Ramayana</t>
  </si>
  <si>
    <t>The Aeneid</t>
  </si>
  <si>
    <t>Mahabharata</t>
  </si>
  <si>
    <t>Leaves of Grass</t>
  </si>
  <si>
    <t>Mrs Dalloway</t>
  </si>
  <si>
    <t>To the Lighthouse</t>
  </si>
  <si>
    <t>Memoirs of Hadrian</t>
  </si>
  <si>
    <t>Books counted during inventory</t>
  </si>
  <si>
    <r>
      <t>Goal:</t>
    </r>
    <r>
      <rPr>
        <sz val="11"/>
        <color theme="1"/>
        <rFont val="Aptos Narrow"/>
        <family val="2"/>
        <scheme val="minor"/>
      </rPr>
      <t xml:space="preserve"> </t>
    </r>
  </si>
  <si>
    <t>extract the books in library database that were not found in the inventory count</t>
  </si>
  <si>
    <t>Extract the books in library database that were not found in the inventory count</t>
  </si>
  <si>
    <t>3.5</t>
  </si>
  <si>
    <t>1.7</t>
  </si>
  <si>
    <t>3.2</t>
  </si>
  <si>
    <t>2.7</t>
  </si>
  <si>
    <t>3.8</t>
  </si>
  <si>
    <t>2.6</t>
  </si>
  <si>
    <t>2.9</t>
  </si>
  <si>
    <t>3.4</t>
  </si>
  <si>
    <t>2.3</t>
  </si>
  <si>
    <t>2.2</t>
  </si>
  <si>
    <t>2.5</t>
  </si>
  <si>
    <t>3.9</t>
  </si>
  <si>
    <t>3.3</t>
  </si>
  <si>
    <t>3.7</t>
  </si>
  <si>
    <t>2.8</t>
  </si>
  <si>
    <t>3.1</t>
  </si>
  <si>
    <t>750</t>
  </si>
  <si>
    <t>1,500</t>
  </si>
  <si>
    <t>4396: Purchased-CSQuad</t>
  </si>
  <si>
    <r>
      <rPr>
        <b/>
        <sz val="11"/>
        <color theme="1"/>
        <rFont val="Aptos Narrow"/>
        <family val="2"/>
        <scheme val="minor"/>
      </rPr>
      <t>Goal:</t>
    </r>
    <r>
      <rPr>
        <sz val="11"/>
        <color theme="1"/>
        <rFont val="Aptos Narrow"/>
        <family val="2"/>
        <scheme val="minor"/>
      </rPr>
      <t xml:space="preserve"> In the blue box to the right, write a statement about what is wrong with the table below.</t>
    </r>
  </si>
  <si>
    <t xml:space="preserve">Back story: </t>
  </si>
  <si>
    <t>The Library has to do inventory each year to see what books are missing. In this problem you will compare two lists and extract a list of books that are missing.</t>
  </si>
  <si>
    <t>Goals:</t>
  </si>
  <si>
    <t>In the blue box, write about what is misleading about the below spreadhseet?</t>
  </si>
  <si>
    <r>
      <rPr>
        <b/>
        <sz val="11"/>
        <color theme="1"/>
        <rFont val="Aptos Narrow"/>
        <family val="2"/>
        <scheme val="minor"/>
      </rPr>
      <t xml:space="preserve">Goal: </t>
    </r>
    <r>
      <rPr>
        <sz val="11"/>
        <color theme="1"/>
        <rFont val="Aptos Narrow"/>
        <family val="2"/>
        <scheme val="minor"/>
      </rPr>
      <t>Calculate the Tax Deduction for each employee and then add at the bottom to get the Total Tax Deduction</t>
    </r>
  </si>
  <si>
    <r>
      <rPr>
        <b/>
        <sz val="11"/>
        <color theme="1"/>
        <rFont val="Aptos Narrow"/>
        <family val="2"/>
        <scheme val="minor"/>
      </rPr>
      <t>Goal:</t>
    </r>
    <r>
      <rPr>
        <sz val="11"/>
        <color theme="1"/>
        <rFont val="Aptos Narrow"/>
        <family val="2"/>
        <scheme val="minor"/>
      </rPr>
      <t xml:space="preserve"> Extract the ProductID code from the Description from Invoice cell, C4, and use it as a lookup value to lookup the product price and return it to cell C5.</t>
    </r>
  </si>
  <si>
    <t>Region</t>
  </si>
  <si>
    <t>AND Function</t>
  </si>
  <si>
    <t>West</t>
  </si>
  <si>
    <t>AIM Item</t>
  </si>
  <si>
    <t>South</t>
  </si>
  <si>
    <t>Fred Myer</t>
  </si>
  <si>
    <t>DAB Item</t>
  </si>
  <si>
    <t>Peet's</t>
  </si>
  <si>
    <t>XOL Item</t>
  </si>
  <si>
    <t>Pham</t>
  </si>
  <si>
    <t>HD</t>
  </si>
  <si>
    <t>RAD Item</t>
  </si>
  <si>
    <t>McLendon's</t>
  </si>
  <si>
    <t>Shelia</t>
  </si>
  <si>
    <t>MidWest</t>
  </si>
  <si>
    <t>Costco</t>
  </si>
  <si>
    <t>OD</t>
  </si>
  <si>
    <t>North</t>
  </si>
  <si>
    <t>Economist</t>
  </si>
  <si>
    <t>WFM</t>
  </si>
  <si>
    <t>Yahoo</t>
  </si>
  <si>
    <t>Google</t>
  </si>
  <si>
    <t>Total COGS ($)</t>
  </si>
  <si>
    <t>Count Transactions</t>
  </si>
  <si>
    <t>Average COGS ($)</t>
  </si>
  <si>
    <t>Customer Group 1</t>
  </si>
  <si>
    <t>Microsoft</t>
  </si>
  <si>
    <t>Total Sales</t>
  </si>
  <si>
    <t>Transactional Sales Table:</t>
  </si>
  <si>
    <t xml:space="preserve">Goal 2: </t>
  </si>
  <si>
    <t xml:space="preserve">Goal 3: </t>
  </si>
  <si>
    <r>
      <rPr>
        <b/>
        <sz val="11"/>
        <color theme="1"/>
        <rFont val="Aptos Narrow"/>
        <family val="2"/>
        <scheme val="minor"/>
      </rPr>
      <t>Question is:</t>
    </r>
    <r>
      <rPr>
        <sz val="11"/>
        <color theme="1"/>
        <rFont val="Aptos Narrow"/>
        <family val="2"/>
        <scheme val="minor"/>
      </rPr>
      <t xml:space="preserve"> </t>
    </r>
  </si>
  <si>
    <t>Example of hash tab: =SUM(B6#)</t>
  </si>
  <si>
    <t>Default alignment is a visual cue about whether you are entering data correctly:</t>
  </si>
  <si>
    <t>Sales Amount ($)</t>
  </si>
  <si>
    <t>Tax Amount to be Paid</t>
  </si>
  <si>
    <t>Sales this Year ($)</t>
  </si>
  <si>
    <t>% Increase in sales this year
over the sales from last year</t>
  </si>
  <si>
    <t>Sales last Year ($)</t>
  </si>
  <si>
    <t>Check your Answer:</t>
  </si>
  <si>
    <t>The tax rate shown as 10% is misleading because the actual tax rate upon which the tax deduction is using in its formula is actually 10.475%</t>
  </si>
  <si>
    <t>The numbers are actually not real numbers. This is because there is a hidden apostrophe. You would also be able to detect this if you understand alignment in Excel which just says that text are aligned to the left and numbers to the right (Boolen middle and capatilized)</t>
  </si>
  <si>
    <t>Investment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</si>
</sst>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6" formatCode="&quot;$&quot;#,##0_);[Red]\(&quot;$&quot;#,##0\)"/>
    <numFmt numFmtId="43" formatCode="_(* #,##0.00_);_(* \(#,##0.00\);_(* &quot;-&quot;??_);_(@_)"/>
    <numFmt numFmtId="164" formatCode="&quot;$&quot;#,##0.00"/>
    <numFmt numFmtId="165" formatCode="m/d/yyyy;@"/>
    <numFmt numFmtId="166" formatCode="&quot;$&quot;#,##0.000_);[Red]\(&quot;$&quot;#,##0.000\)"/>
    <numFmt numFmtId="167" formatCode="0.000"/>
    <numFmt numFmtId="168" formatCode="hh:mm:ss"/>
    <numFmt numFmtId="169" formatCode="hh:mm:ss\ AM/PM"/>
    <numFmt numFmtId="170" formatCode="0.000%"/>
    <numFmt numFmtId="171" formatCode="ddd\,\ m/d/yy"/>
    <numFmt numFmtId="172" formatCode="0.0000000"/>
    <numFmt numFmtId="173" formatCode="m/d/yy;@"/>
    <numFmt numFmtId="174" formatCode="0.0000%"/>
    <numFmt numFmtId="175" formatCode="m/d/yy"/>
  </numFmts>
  <fonts count="21" x14ac:knownFonts="1">
    <font>
      <sz val="11"/>
      <color theme="1"/>
      <name val="Aptos Narrow"/>
      <family val="2"/>
      <scheme val="minor"/>
    </font>
    <font>
      <b/>
      <sz val="11"/>
      <color theme="0"/>
      <name val="Aptos Narrow"/>
      <family val="2"/>
      <scheme val="minor"/>
    </font>
    <font>
      <b/>
      <sz val="11"/>
      <color theme="1"/>
      <name val="Aptos Narrow"/>
      <family val="2"/>
      <scheme val="minor"/>
    </font>
    <font>
      <u/>
      <sz val="11"/>
      <color theme="1"/>
      <name val="Aptos Narrow"/>
      <family val="2"/>
      <scheme val="minor"/>
    </font>
    <font>
      <b/>
      <sz val="14"/>
      <color theme="1"/>
      <name val="Aptos Narrow"/>
      <family val="2"/>
      <scheme val="minor"/>
    </font>
    <font>
      <sz val="11"/>
      <color theme="1"/>
      <name val="Calibri"/>
      <family val="2"/>
    </font>
    <font>
      <b/>
      <sz val="11"/>
      <color rgb="FF000000"/>
      <name val="Calibri"/>
      <family val="2"/>
    </font>
    <font>
      <b/>
      <sz val="16"/>
      <color theme="1"/>
      <name val="Aptos Narrow"/>
      <family val="2"/>
      <scheme val="minor"/>
    </font>
    <font>
      <sz val="11"/>
      <color theme="1"/>
      <name val="Aptos Narrow"/>
      <family val="2"/>
      <scheme val="minor"/>
    </font>
    <font>
      <sz val="8"/>
      <name val="Aptos Narrow"/>
      <family val="2"/>
      <scheme val="minor"/>
    </font>
    <font>
      <sz val="11"/>
      <color theme="0" tint="-4.9989318521683403E-2"/>
      <name val="Aptos Narrow"/>
      <family val="2"/>
      <scheme val="minor"/>
    </font>
    <font>
      <sz val="11"/>
      <color theme="0"/>
      <name val="Aptos Narrow"/>
      <family val="2"/>
      <scheme val="minor"/>
    </font>
    <font>
      <b/>
      <sz val="11"/>
      <color theme="1"/>
      <name val="Aptos"/>
      <family val="2"/>
    </font>
    <font>
      <b/>
      <u/>
      <sz val="11"/>
      <color theme="1"/>
      <name val="Aptos Narrow"/>
      <family val="2"/>
      <scheme val="minor"/>
    </font>
    <font>
      <sz val="11"/>
      <color theme="1"/>
      <name val="Aptos"/>
      <family val="2"/>
    </font>
    <font>
      <b/>
      <sz val="14"/>
      <color theme="0"/>
      <name val="Aptos Narrow"/>
      <family val="2"/>
      <scheme val="minor"/>
    </font>
    <font>
      <b/>
      <sz val="12"/>
      <color theme="1"/>
      <name val="Aptos Narrow"/>
      <family val="2"/>
      <scheme val="minor"/>
    </font>
    <font>
      <u val="doubleAccounting"/>
      <sz val="11"/>
      <color theme="1"/>
      <name val="Aptos Narrow"/>
      <family val="2"/>
      <scheme val="minor"/>
    </font>
    <font>
      <b/>
      <u val="doubleAccounting"/>
      <sz val="11"/>
      <color theme="1"/>
      <name val="Aptos Narrow"/>
      <family val="2"/>
      <scheme val="minor"/>
    </font>
    <font>
      <sz val="10"/>
      <color theme="0"/>
      <name val="Arial"/>
      <family val="2"/>
    </font>
    <font>
      <b/>
      <sz val="11"/>
      <color rgb="FFFF0000"/>
      <name val="Aptos Narrow"/>
      <family val="2"/>
      <scheme val="minor"/>
    </font>
  </fonts>
  <fills count="12">
    <fill>
      <patternFill patternType="none"/>
    </fill>
    <fill>
      <patternFill patternType="gray125"/>
    </fill>
    <fill>
      <patternFill patternType="solid">
        <fgColor rgb="FF002060"/>
        <bgColor indexed="64"/>
      </patternFill>
    </fill>
    <fill>
      <patternFill patternType="solid">
        <fgColor rgb="FFCCFFCC"/>
        <bgColor indexed="64"/>
      </patternFill>
    </fill>
    <fill>
      <patternFill patternType="solid">
        <fgColor rgb="FFD1D2D4"/>
        <bgColor indexed="64"/>
      </patternFill>
    </fill>
    <fill>
      <patternFill patternType="solid">
        <fgColor rgb="FFFFFFCC"/>
        <bgColor indexed="64"/>
      </patternFill>
    </fill>
    <fill>
      <patternFill patternType="solid">
        <fgColor rgb="FFFFFF00"/>
        <bgColor indexed="64"/>
      </patternFill>
    </fill>
    <fill>
      <patternFill patternType="solid">
        <fgColor rgb="FFFF0000"/>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rgb="FF0000FF"/>
        <bgColor indexed="64"/>
      </patternFill>
    </fill>
  </fills>
  <borders count="47">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theme="0"/>
      </right>
      <top style="thin">
        <color auto="1"/>
      </top>
      <bottom style="thin">
        <color auto="1"/>
      </bottom>
      <diagonal/>
    </border>
    <border>
      <left style="thin">
        <color theme="0"/>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theme="0"/>
      </bottom>
      <diagonal/>
    </border>
    <border>
      <left style="thin">
        <color indexed="64"/>
      </left>
      <right style="thin">
        <color indexed="64"/>
      </right>
      <top style="thin">
        <color theme="0"/>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theme="1"/>
      </left>
      <right style="thin">
        <color theme="0"/>
      </right>
      <top/>
      <bottom style="thin">
        <color theme="1"/>
      </bottom>
      <diagonal/>
    </border>
    <border>
      <left style="thin">
        <color theme="0"/>
      </left>
      <right style="thin">
        <color theme="0"/>
      </right>
      <top/>
      <bottom style="thin">
        <color theme="1"/>
      </bottom>
      <diagonal/>
    </border>
    <border>
      <left style="thin">
        <color theme="0"/>
      </left>
      <right style="thin">
        <color theme="1"/>
      </right>
      <top/>
      <bottom style="thin">
        <color theme="1"/>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right/>
      <top style="thin">
        <color indexed="64"/>
      </top>
      <bottom/>
      <diagonal/>
    </border>
    <border>
      <left/>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s>
  <cellStyleXfs count="4">
    <xf numFmtId="0" fontId="0" fillId="0" borderId="0"/>
    <xf numFmtId="9" fontId="8" fillId="0" borderId="0" applyFont="0" applyFill="0" applyBorder="0" applyAlignment="0" applyProtection="0"/>
    <xf numFmtId="43" fontId="8" fillId="0" borderId="0" applyFont="0" applyFill="0" applyBorder="0" applyAlignment="0" applyProtection="0"/>
    <xf numFmtId="0" fontId="11" fillId="2" borderId="6"/>
  </cellStyleXfs>
  <cellXfs count="219">
    <xf numFmtId="0" fontId="0" fillId="0" borderId="0" xfId="0"/>
    <xf numFmtId="0" fontId="2" fillId="0" borderId="0" xfId="0" applyFont="1"/>
    <xf numFmtId="0" fontId="0" fillId="3" borderId="6" xfId="0" applyFill="1" applyBorder="1"/>
    <xf numFmtId="0" fontId="2" fillId="0" borderId="6" xfId="0" applyFont="1" applyBorder="1"/>
    <xf numFmtId="0" fontId="2" fillId="0" borderId="6" xfId="0" applyFont="1" applyBorder="1" applyAlignment="1">
      <alignment vertical="center" wrapText="1"/>
    </xf>
    <xf numFmtId="0" fontId="0" fillId="0" borderId="6" xfId="0" applyBorder="1" applyAlignment="1">
      <alignment horizontal="left" vertical="center" wrapText="1" indent="1"/>
    </xf>
    <xf numFmtId="0" fontId="0" fillId="0" borderId="7" xfId="0" applyBorder="1" applyAlignment="1">
      <alignment horizontal="left" vertical="center" wrapText="1" indent="2"/>
    </xf>
    <xf numFmtId="0" fontId="3" fillId="0" borderId="8" xfId="0" applyFont="1" applyBorder="1" applyAlignment="1">
      <alignment horizontal="left" vertical="center" wrapText="1" indent="2"/>
    </xf>
    <xf numFmtId="0" fontId="0" fillId="0" borderId="8" xfId="0" applyBorder="1" applyAlignment="1">
      <alignment horizontal="left" vertical="center" wrapText="1" indent="3"/>
    </xf>
    <xf numFmtId="0" fontId="0" fillId="0" borderId="7" xfId="0" applyBorder="1" applyAlignment="1">
      <alignment horizontal="left" vertical="center" wrapText="1" indent="1"/>
    </xf>
    <xf numFmtId="0" fontId="0" fillId="0" borderId="8" xfId="0" applyBorder="1" applyAlignment="1">
      <alignment horizontal="left" indent="3"/>
    </xf>
    <xf numFmtId="0" fontId="0" fillId="0" borderId="8" xfId="0" applyBorder="1" applyAlignment="1">
      <alignment horizontal="left" indent="4"/>
    </xf>
    <xf numFmtId="0" fontId="0" fillId="0" borderId="6" xfId="0" applyBorder="1"/>
    <xf numFmtId="0" fontId="0" fillId="0" borderId="6" xfId="0" applyBorder="1" applyAlignment="1">
      <alignment horizontal="left" wrapText="1"/>
    </xf>
    <xf numFmtId="0" fontId="0" fillId="0" borderId="8" xfId="0" applyBorder="1" applyAlignment="1">
      <alignment horizontal="left" vertical="center" wrapText="1" indent="2"/>
    </xf>
    <xf numFmtId="0" fontId="0" fillId="0" borderId="9" xfId="0" applyBorder="1" applyAlignment="1">
      <alignment horizontal="left" vertical="center" wrapText="1" indent="2"/>
    </xf>
    <xf numFmtId="0" fontId="0" fillId="0" borderId="0" xfId="0" applyAlignment="1">
      <alignment horizontal="left" indent="1"/>
    </xf>
    <xf numFmtId="1" fontId="0" fillId="0" borderId="0" xfId="0" applyNumberFormat="1"/>
    <xf numFmtId="2" fontId="0" fillId="0" borderId="0" xfId="0" applyNumberFormat="1"/>
    <xf numFmtId="0" fontId="4" fillId="0" borderId="0" xfId="0" applyFont="1"/>
    <xf numFmtId="0" fontId="3" fillId="0" borderId="0" xfId="0" applyFont="1"/>
    <xf numFmtId="0" fontId="0" fillId="0" borderId="0" xfId="0" applyAlignment="1">
      <alignment horizontal="left" indent="2"/>
    </xf>
    <xf numFmtId="0" fontId="1" fillId="2" borderId="6" xfId="0" applyFont="1" applyFill="1" applyBorder="1"/>
    <xf numFmtId="0" fontId="0" fillId="0" borderId="6" xfId="0" applyBorder="1" applyAlignment="1">
      <alignment wrapText="1"/>
    </xf>
    <xf numFmtId="0" fontId="0" fillId="0" borderId="6" xfId="0" quotePrefix="1" applyBorder="1"/>
    <xf numFmtId="0" fontId="0" fillId="0" borderId="6" xfId="0" quotePrefix="1" applyBorder="1" applyAlignment="1">
      <alignment wrapText="1"/>
    </xf>
    <xf numFmtId="0" fontId="0" fillId="0" borderId="6" xfId="0" applyBorder="1" applyAlignment="1">
      <alignment vertical="center" wrapText="1"/>
    </xf>
    <xf numFmtId="0" fontId="0" fillId="0" borderId="0" xfId="0" applyAlignment="1">
      <alignment wrapText="1"/>
    </xf>
    <xf numFmtId="0" fontId="0" fillId="5" borderId="1" xfId="0" applyFill="1" applyBorder="1"/>
    <xf numFmtId="0" fontId="0" fillId="5" borderId="3" xfId="0" applyFill="1" applyBorder="1"/>
    <xf numFmtId="0" fontId="0" fillId="0" borderId="10" xfId="0" applyBorder="1"/>
    <xf numFmtId="0" fontId="0" fillId="0" borderId="11" xfId="0" applyBorder="1"/>
    <xf numFmtId="0" fontId="0" fillId="0" borderId="10" xfId="0" applyBorder="1" applyAlignment="1">
      <alignment horizontal="left" indent="1"/>
    </xf>
    <xf numFmtId="0" fontId="0" fillId="0" borderId="11" xfId="0" applyBorder="1" applyAlignment="1">
      <alignment horizontal="left" indent="1"/>
    </xf>
    <xf numFmtId="0" fontId="0" fillId="5" borderId="12" xfId="0" applyFill="1" applyBorder="1"/>
    <xf numFmtId="0" fontId="0" fillId="5" borderId="13" xfId="0" applyFill="1" applyBorder="1"/>
    <xf numFmtId="0" fontId="0" fillId="5" borderId="10" xfId="0" applyFill="1" applyBorder="1" applyAlignment="1">
      <alignment horizontal="left" indent="1"/>
    </xf>
    <xf numFmtId="0" fontId="0" fillId="5" borderId="11" xfId="0" applyFill="1" applyBorder="1" applyAlignment="1">
      <alignment horizontal="left" indent="1"/>
    </xf>
    <xf numFmtId="0" fontId="0" fillId="5" borderId="14" xfId="0" applyFill="1" applyBorder="1" applyAlignment="1">
      <alignment horizontal="left" indent="1"/>
    </xf>
    <xf numFmtId="0" fontId="0" fillId="5" borderId="15" xfId="0" applyFill="1" applyBorder="1" applyAlignment="1">
      <alignment horizontal="left" indent="1"/>
    </xf>
    <xf numFmtId="0" fontId="0" fillId="0" borderId="14" xfId="0" applyBorder="1"/>
    <xf numFmtId="0" fontId="0" fillId="0" borderId="15" xfId="0" applyBorder="1"/>
    <xf numFmtId="1" fontId="0" fillId="3" borderId="6" xfId="0" applyNumberFormat="1" applyFill="1" applyBorder="1"/>
    <xf numFmtId="0" fontId="0" fillId="0" borderId="0" xfId="0" quotePrefix="1"/>
    <xf numFmtId="0" fontId="0" fillId="0" borderId="16" xfId="0" quotePrefix="1" applyBorder="1" applyAlignment="1">
      <alignment wrapText="1"/>
    </xf>
    <xf numFmtId="0" fontId="0" fillId="0" borderId="17" xfId="0" quotePrefix="1" applyBorder="1" applyAlignment="1">
      <alignment wrapText="1"/>
    </xf>
    <xf numFmtId="0" fontId="2" fillId="0" borderId="18" xfId="0" applyFont="1" applyBorder="1"/>
    <xf numFmtId="0" fontId="2" fillId="0" borderId="19" xfId="0" applyFont="1"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0" fontId="0" fillId="0" borderId="24" xfId="0" applyBorder="1"/>
    <xf numFmtId="0" fontId="0" fillId="6" borderId="6" xfId="0" applyFill="1" applyBorder="1"/>
    <xf numFmtId="3" fontId="0" fillId="0" borderId="6" xfId="0" applyNumberFormat="1" applyBorder="1"/>
    <xf numFmtId="0" fontId="10" fillId="2" borderId="6" xfId="0" applyFont="1" applyFill="1" applyBorder="1"/>
    <xf numFmtId="1" fontId="0" fillId="0" borderId="6" xfId="0" applyNumberFormat="1" applyBorder="1"/>
    <xf numFmtId="2" fontId="0" fillId="0" borderId="6" xfId="0" applyNumberFormat="1" applyBorder="1"/>
    <xf numFmtId="0" fontId="10" fillId="2" borderId="6" xfId="0" applyFont="1" applyFill="1" applyBorder="1" applyAlignment="1">
      <alignment wrapText="1"/>
    </xf>
    <xf numFmtId="0" fontId="1" fillId="2" borderId="6" xfId="0" applyFont="1" applyFill="1" applyBorder="1" applyAlignment="1">
      <alignment wrapText="1"/>
    </xf>
    <xf numFmtId="0" fontId="0" fillId="5" borderId="2" xfId="0" applyFill="1" applyBorder="1"/>
    <xf numFmtId="0" fontId="11" fillId="2" borderId="6" xfId="0" applyFont="1" applyFill="1" applyBorder="1"/>
    <xf numFmtId="164" fontId="0" fillId="3" borderId="6" xfId="0" applyNumberFormat="1" applyFill="1" applyBorder="1"/>
    <xf numFmtId="164" fontId="0" fillId="8" borderId="6" xfId="0" applyNumberFormat="1" applyFill="1" applyBorder="1"/>
    <xf numFmtId="0" fontId="2" fillId="0" borderId="6" xfId="0" quotePrefix="1" applyFont="1" applyBorder="1"/>
    <xf numFmtId="14" fontId="0" fillId="0" borderId="6" xfId="0" applyNumberFormat="1" applyBorder="1"/>
    <xf numFmtId="0" fontId="0" fillId="0" borderId="25" xfId="0" applyBorder="1"/>
    <xf numFmtId="0" fontId="0" fillId="0" borderId="26" xfId="0" applyBorder="1"/>
    <xf numFmtId="0" fontId="0" fillId="0" borderId="27" xfId="0" applyBorder="1"/>
    <xf numFmtId="10" fontId="0" fillId="0" borderId="6" xfId="0" applyNumberFormat="1" applyBorder="1"/>
    <xf numFmtId="0" fontId="11" fillId="2" borderId="6" xfId="0" applyFont="1" applyFill="1" applyBorder="1" applyAlignment="1">
      <alignment wrapText="1"/>
    </xf>
    <xf numFmtId="4" fontId="0" fillId="0" borderId="6" xfId="0" applyNumberFormat="1" applyBorder="1"/>
    <xf numFmtId="4" fontId="0" fillId="3" borderId="6" xfId="0" applyNumberFormat="1" applyFill="1" applyBorder="1"/>
    <xf numFmtId="165" fontId="0" fillId="0" borderId="6" xfId="0" applyNumberFormat="1" applyBorder="1"/>
    <xf numFmtId="0" fontId="1" fillId="2" borderId="4" xfId="0" applyFont="1" applyFill="1" applyBorder="1"/>
    <xf numFmtId="0" fontId="11" fillId="2" borderId="5" xfId="0" applyFont="1" applyFill="1" applyBorder="1"/>
    <xf numFmtId="0" fontId="11" fillId="7" borderId="28" xfId="0" applyFont="1" applyFill="1" applyBorder="1"/>
    <xf numFmtId="0" fontId="11" fillId="2" borderId="28" xfId="0" applyFont="1" applyFill="1" applyBorder="1"/>
    <xf numFmtId="0" fontId="0" fillId="0" borderId="28" xfId="0" applyBorder="1"/>
    <xf numFmtId="0" fontId="2" fillId="0" borderId="28" xfId="0" applyFont="1" applyBorder="1"/>
    <xf numFmtId="0" fontId="2" fillId="0" borderId="21" xfId="0" applyFont="1" applyBorder="1"/>
    <xf numFmtId="0" fontId="0" fillId="0" borderId="29" xfId="0" applyBorder="1"/>
    <xf numFmtId="0" fontId="0" fillId="0" borderId="30" xfId="0" applyBorder="1"/>
    <xf numFmtId="0" fontId="0" fillId="0" borderId="31" xfId="0" applyBorder="1"/>
    <xf numFmtId="0" fontId="2" fillId="0" borderId="32" xfId="0" applyFont="1" applyBorder="1"/>
    <xf numFmtId="0" fontId="0" fillId="0" borderId="33" xfId="0" applyBorder="1"/>
    <xf numFmtId="0" fontId="11" fillId="2" borderId="34" xfId="0" applyFont="1" applyFill="1" applyBorder="1"/>
    <xf numFmtId="0" fontId="0" fillId="3" borderId="34" xfId="0" applyFill="1" applyBorder="1"/>
    <xf numFmtId="0" fontId="2" fillId="0" borderId="33" xfId="0" applyFont="1" applyBorder="1"/>
    <xf numFmtId="0" fontId="11" fillId="2" borderId="34" xfId="0" applyFont="1" applyFill="1" applyBorder="1" applyAlignment="1">
      <alignment wrapText="1"/>
    </xf>
    <xf numFmtId="0" fontId="0" fillId="0" borderId="35" xfId="0" applyBorder="1"/>
    <xf numFmtId="166" fontId="0" fillId="0" borderId="6" xfId="0" applyNumberFormat="1" applyBorder="1"/>
    <xf numFmtId="6" fontId="0" fillId="0" borderId="6" xfId="0" applyNumberFormat="1" applyBorder="1"/>
    <xf numFmtId="0" fontId="4" fillId="6" borderId="1" xfId="0" applyFont="1" applyFill="1" applyBorder="1"/>
    <xf numFmtId="0" fontId="0" fillId="6" borderId="3" xfId="0" applyFill="1" applyBorder="1"/>
    <xf numFmtId="167" fontId="0" fillId="0" borderId="6" xfId="0" applyNumberFormat="1" applyBorder="1"/>
    <xf numFmtId="18" fontId="0" fillId="0" borderId="6" xfId="0" applyNumberFormat="1" applyBorder="1"/>
    <xf numFmtId="168" fontId="0" fillId="0" borderId="6" xfId="0" applyNumberFormat="1" applyBorder="1"/>
    <xf numFmtId="169" fontId="0" fillId="3" borderId="6" xfId="0" applyNumberFormat="1" applyFill="1" applyBorder="1"/>
    <xf numFmtId="0" fontId="11" fillId="2" borderId="9" xfId="0" applyFont="1" applyFill="1" applyBorder="1"/>
    <xf numFmtId="0" fontId="0" fillId="6" borderId="2" xfId="0" applyFill="1" applyBorder="1"/>
    <xf numFmtId="170" fontId="0" fillId="0" borderId="6" xfId="0" applyNumberFormat="1" applyBorder="1"/>
    <xf numFmtId="170" fontId="0" fillId="3" borderId="6" xfId="0" applyNumberFormat="1" applyFill="1" applyBorder="1"/>
    <xf numFmtId="0" fontId="1" fillId="7" borderId="6" xfId="0" applyFont="1" applyFill="1" applyBorder="1"/>
    <xf numFmtId="18" fontId="0" fillId="3" borderId="6" xfId="0" applyNumberFormat="1" applyFill="1" applyBorder="1"/>
    <xf numFmtId="171" fontId="0" fillId="0" borderId="6" xfId="0" applyNumberFormat="1" applyBorder="1"/>
    <xf numFmtId="172" fontId="0" fillId="3" borderId="6" xfId="0" applyNumberFormat="1" applyFill="1" applyBorder="1"/>
    <xf numFmtId="0" fontId="12" fillId="0" borderId="0" xfId="0" applyFont="1" applyAlignment="1">
      <alignment vertical="center"/>
    </xf>
    <xf numFmtId="0" fontId="0" fillId="0" borderId="8" xfId="0" quotePrefix="1" applyBorder="1" applyAlignment="1">
      <alignment horizontal="left" vertical="center" wrapText="1" indent="4"/>
    </xf>
    <xf numFmtId="0" fontId="13" fillId="0" borderId="8" xfId="0" quotePrefix="1" applyFont="1" applyBorder="1" applyAlignment="1">
      <alignment horizontal="left" vertical="center" wrapText="1" indent="3"/>
    </xf>
    <xf numFmtId="0" fontId="0" fillId="0" borderId="8" xfId="0" applyBorder="1" applyAlignment="1">
      <alignment horizontal="left" wrapText="1" indent="4"/>
    </xf>
    <xf numFmtId="0" fontId="0" fillId="0" borderId="9" xfId="0" quotePrefix="1" applyBorder="1" applyAlignment="1">
      <alignment horizontal="left" vertical="center" wrapText="1" indent="4"/>
    </xf>
    <xf numFmtId="0" fontId="14" fillId="0" borderId="0" xfId="0" applyFont="1" applyAlignment="1">
      <alignment vertical="center"/>
    </xf>
    <xf numFmtId="173" fontId="0" fillId="0" borderId="6" xfId="0" applyNumberFormat="1" applyBorder="1"/>
    <xf numFmtId="0" fontId="0" fillId="0" borderId="6" xfId="0" quotePrefix="1" applyBorder="1" applyAlignment="1">
      <alignment horizontal="right"/>
    </xf>
    <xf numFmtId="0" fontId="14" fillId="0" borderId="6" xfId="0" applyFont="1" applyBorder="1" applyAlignment="1">
      <alignment vertical="center"/>
    </xf>
    <xf numFmtId="0" fontId="14" fillId="0" borderId="6" xfId="0" applyFont="1" applyBorder="1" applyAlignment="1">
      <alignment vertical="center" wrapText="1"/>
    </xf>
    <xf numFmtId="173" fontId="0" fillId="3" borderId="6" xfId="0" applyNumberFormat="1" applyFill="1" applyBorder="1"/>
    <xf numFmtId="0" fontId="0" fillId="3" borderId="6" xfId="0" applyFill="1" applyBorder="1" applyAlignment="1">
      <alignment horizontal="left" indent="1"/>
    </xf>
    <xf numFmtId="10" fontId="0" fillId="3" borderId="6" xfId="0" applyNumberFormat="1" applyFill="1" applyBorder="1"/>
    <xf numFmtId="173" fontId="0" fillId="0" borderId="0" xfId="0" applyNumberFormat="1"/>
    <xf numFmtId="15" fontId="0" fillId="0" borderId="0" xfId="0" applyNumberFormat="1"/>
    <xf numFmtId="0" fontId="0" fillId="0" borderId="10" xfId="0" applyBorder="1" applyAlignment="1">
      <alignment horizontal="left" indent="7"/>
    </xf>
    <xf numFmtId="0" fontId="16" fillId="6" borderId="6" xfId="0" applyFont="1" applyFill="1" applyBorder="1"/>
    <xf numFmtId="0" fontId="14" fillId="0" borderId="0" xfId="0" applyFont="1" applyAlignment="1">
      <alignment horizontal="left" vertical="center" indent="1"/>
    </xf>
    <xf numFmtId="0" fontId="14" fillId="0" borderId="0" xfId="0" applyFont="1" applyAlignment="1">
      <alignment horizontal="left" vertical="center" indent="2"/>
    </xf>
    <xf numFmtId="164" fontId="0" fillId="3" borderId="34" xfId="0" applyNumberFormat="1" applyFill="1" applyBorder="1"/>
    <xf numFmtId="0" fontId="0" fillId="3" borderId="3" xfId="0" applyFill="1" applyBorder="1"/>
    <xf numFmtId="0" fontId="6" fillId="4" borderId="36" xfId="0" applyFont="1" applyFill="1" applyBorder="1" applyAlignment="1">
      <alignment vertical="center" wrapText="1"/>
    </xf>
    <xf numFmtId="0" fontId="6" fillId="4" borderId="37" xfId="0" applyFont="1" applyFill="1" applyBorder="1" applyAlignment="1">
      <alignment vertical="center" wrapText="1"/>
    </xf>
    <xf numFmtId="0" fontId="5" fillId="0" borderId="38" xfId="0" applyFont="1" applyBorder="1" applyAlignment="1">
      <alignment vertical="center" wrapText="1"/>
    </xf>
    <xf numFmtId="0" fontId="5" fillId="0" borderId="39" xfId="0" applyFont="1" applyBorder="1" applyAlignment="1">
      <alignment vertical="center" wrapText="1"/>
    </xf>
    <xf numFmtId="0" fontId="5" fillId="0" borderId="40" xfId="0" applyFont="1" applyBorder="1" applyAlignment="1">
      <alignment vertical="center" wrapText="1"/>
    </xf>
    <xf numFmtId="0" fontId="5" fillId="0" borderId="41" xfId="0" applyFont="1" applyBorder="1" applyAlignment="1">
      <alignment vertical="center" wrapText="1"/>
    </xf>
    <xf numFmtId="14" fontId="0" fillId="3" borderId="3" xfId="0" applyNumberFormat="1" applyFill="1" applyBorder="1"/>
    <xf numFmtId="0" fontId="0" fillId="0" borderId="0" xfId="0" applyAlignment="1">
      <alignment horizontal="left" indent="5"/>
    </xf>
    <xf numFmtId="0" fontId="2" fillId="0" borderId="6" xfId="0" applyFont="1" applyBorder="1" applyAlignment="1">
      <alignment horizontal="right"/>
    </xf>
    <xf numFmtId="3" fontId="0" fillId="8" borderId="6" xfId="0" applyNumberFormat="1" applyFill="1" applyBorder="1"/>
    <xf numFmtId="0" fontId="2" fillId="0" borderId="6" xfId="0" applyFont="1" applyBorder="1" applyAlignment="1">
      <alignment wrapText="1"/>
    </xf>
    <xf numFmtId="3" fontId="0" fillId="0" borderId="0" xfId="0" applyNumberFormat="1"/>
    <xf numFmtId="0" fontId="0" fillId="0" borderId="6" xfId="0" applyBorder="1" applyAlignment="1">
      <alignment horizontal="left" indent="1"/>
    </xf>
    <xf numFmtId="3" fontId="0" fillId="3" borderId="6" xfId="0" applyNumberFormat="1" applyFill="1" applyBorder="1"/>
    <xf numFmtId="3" fontId="0" fillId="9" borderId="6" xfId="0" applyNumberFormat="1" applyFill="1" applyBorder="1"/>
    <xf numFmtId="3" fontId="17" fillId="3" borderId="6" xfId="0" applyNumberFormat="1" applyFont="1" applyFill="1" applyBorder="1"/>
    <xf numFmtId="0" fontId="18" fillId="0" borderId="6" xfId="0" applyFont="1" applyBorder="1"/>
    <xf numFmtId="0" fontId="0" fillId="5" borderId="0" xfId="0" applyFill="1"/>
    <xf numFmtId="0" fontId="0" fillId="5" borderId="42" xfId="0" applyFill="1" applyBorder="1"/>
    <xf numFmtId="0" fontId="0" fillId="5" borderId="14" xfId="0" applyFill="1" applyBorder="1"/>
    <xf numFmtId="0" fontId="0" fillId="5" borderId="43" xfId="0" applyFill="1" applyBorder="1"/>
    <xf numFmtId="0" fontId="0" fillId="5" borderId="15" xfId="0" applyFill="1" applyBorder="1"/>
    <xf numFmtId="0" fontId="0" fillId="5" borderId="10" xfId="0" applyFill="1" applyBorder="1"/>
    <xf numFmtId="0" fontId="0" fillId="5" borderId="11" xfId="0" applyFill="1" applyBorder="1"/>
    <xf numFmtId="0" fontId="2" fillId="5" borderId="12" xfId="0" applyFont="1" applyFill="1" applyBorder="1"/>
    <xf numFmtId="0" fontId="2" fillId="5" borderId="10" xfId="0" applyFont="1" applyFill="1" applyBorder="1"/>
    <xf numFmtId="0" fontId="0" fillId="5" borderId="0" xfId="0" applyFill="1" applyAlignment="1">
      <alignment wrapText="1"/>
    </xf>
    <xf numFmtId="0" fontId="0" fillId="5" borderId="11" xfId="0" applyFill="1" applyBorder="1" applyAlignment="1">
      <alignment wrapText="1"/>
    </xf>
    <xf numFmtId="0" fontId="11" fillId="7" borderId="6" xfId="0" applyFont="1" applyFill="1" applyBorder="1"/>
    <xf numFmtId="174" fontId="0" fillId="0" borderId="6" xfId="0" applyNumberFormat="1" applyBorder="1"/>
    <xf numFmtId="9" fontId="0" fillId="0" borderId="6" xfId="0" applyNumberFormat="1" applyBorder="1"/>
    <xf numFmtId="0" fontId="0" fillId="5" borderId="14" xfId="0" applyFill="1" applyBorder="1" applyAlignment="1">
      <alignment horizontal="left"/>
    </xf>
    <xf numFmtId="175" fontId="0" fillId="0" borderId="6" xfId="0" applyNumberFormat="1" applyBorder="1"/>
    <xf numFmtId="0" fontId="19" fillId="7" borderId="6" xfId="0" applyFont="1" applyFill="1" applyBorder="1"/>
    <xf numFmtId="0" fontId="11" fillId="7" borderId="6" xfId="3" applyFill="1"/>
    <xf numFmtId="3" fontId="0" fillId="3" borderId="6" xfId="2" applyNumberFormat="1" applyFont="1" applyFill="1" applyBorder="1"/>
    <xf numFmtId="0" fontId="19" fillId="2" borderId="6" xfId="0" applyFont="1" applyFill="1" applyBorder="1"/>
    <xf numFmtId="0" fontId="2" fillId="5" borderId="14" xfId="0" applyFont="1" applyFill="1" applyBorder="1" applyAlignment="1">
      <alignment horizontal="right"/>
    </xf>
    <xf numFmtId="0" fontId="0" fillId="5" borderId="12" xfId="0" applyFill="1" applyBorder="1" applyAlignment="1">
      <alignment horizontal="right"/>
    </xf>
    <xf numFmtId="0" fontId="10" fillId="2" borderId="28" xfId="0" applyFont="1" applyFill="1" applyBorder="1"/>
    <xf numFmtId="0" fontId="10" fillId="2" borderId="44" xfId="0" applyFont="1" applyFill="1" applyBorder="1"/>
    <xf numFmtId="0" fontId="0" fillId="3" borderId="45" xfId="0" applyFill="1" applyBorder="1"/>
    <xf numFmtId="0" fontId="2" fillId="0" borderId="45" xfId="0" applyFont="1" applyBorder="1"/>
    <xf numFmtId="0" fontId="20" fillId="0" borderId="18" xfId="0" applyFont="1" applyBorder="1"/>
    <xf numFmtId="0" fontId="1" fillId="2" borderId="46" xfId="0" applyFont="1" applyFill="1" applyBorder="1" applyAlignment="1">
      <alignment wrapText="1"/>
    </xf>
    <xf numFmtId="0" fontId="1" fillId="2" borderId="28" xfId="0" applyFont="1" applyFill="1" applyBorder="1"/>
    <xf numFmtId="0" fontId="1" fillId="2" borderId="44" xfId="0" applyFont="1" applyFill="1" applyBorder="1"/>
    <xf numFmtId="0" fontId="2" fillId="0" borderId="30" xfId="0" applyFont="1" applyBorder="1"/>
    <xf numFmtId="0" fontId="2" fillId="0" borderId="31" xfId="0" applyFont="1" applyBorder="1"/>
    <xf numFmtId="9" fontId="0" fillId="0" borderId="6" xfId="1" applyFont="1" applyFill="1" applyBorder="1"/>
    <xf numFmtId="0" fontId="1" fillId="11" borderId="6" xfId="0" applyFont="1" applyFill="1" applyBorder="1"/>
    <xf numFmtId="10" fontId="0" fillId="0" borderId="6" xfId="1" applyNumberFormat="1" applyFont="1" applyBorder="1"/>
    <xf numFmtId="0" fontId="1" fillId="11" borderId="6" xfId="0" applyFont="1" applyFill="1" applyBorder="1" applyAlignment="1">
      <alignment wrapText="1"/>
    </xf>
    <xf numFmtId="0" fontId="0" fillId="3" borderId="1" xfId="0" applyFill="1" applyBorder="1"/>
    <xf numFmtId="0" fontId="2" fillId="0" borderId="14" xfId="0" applyFont="1" applyBorder="1"/>
    <xf numFmtId="0" fontId="0" fillId="3" borderId="12" xfId="0" applyFill="1" applyBorder="1"/>
    <xf numFmtId="0" fontId="0" fillId="0" borderId="12" xfId="0" applyBorder="1"/>
    <xf numFmtId="0" fontId="2" fillId="0" borderId="9" xfId="0" applyFont="1" applyBorder="1"/>
    <xf numFmtId="0" fontId="0" fillId="0" borderId="7" xfId="0" applyBorder="1"/>
    <xf numFmtId="2" fontId="0" fillId="3" borderId="6" xfId="0" applyNumberFormat="1" applyFill="1" applyBorder="1"/>
    <xf numFmtId="0" fontId="11" fillId="2" borderId="0" xfId="0" applyFont="1" applyFill="1"/>
    <xf numFmtId="0" fontId="15" fillId="2" borderId="0" xfId="0" applyFont="1" applyFill="1" applyAlignment="1">
      <alignment horizontal="left"/>
    </xf>
    <xf numFmtId="0" fontId="0" fillId="0" borderId="1" xfId="0" applyBorder="1" applyAlignment="1">
      <alignment horizontal="left" wrapText="1"/>
    </xf>
    <xf numFmtId="0" fontId="0" fillId="0" borderId="2" xfId="0" applyBorder="1" applyAlignment="1">
      <alignment horizontal="left" wrapText="1"/>
    </xf>
    <xf numFmtId="0" fontId="0" fillId="0" borderId="3" xfId="0" applyBorder="1" applyAlignment="1">
      <alignment horizontal="left" wrapText="1"/>
    </xf>
    <xf numFmtId="0" fontId="0" fillId="0" borderId="6" xfId="0" applyBorder="1" applyAlignment="1">
      <alignment horizontal="left" vertical="center" wrapText="1"/>
    </xf>
    <xf numFmtId="0" fontId="0" fillId="10" borderId="12" xfId="0" applyFill="1" applyBorder="1" applyAlignment="1">
      <alignment horizontal="left" vertical="top" wrapText="1"/>
    </xf>
    <xf numFmtId="0" fontId="0" fillId="10" borderId="42" xfId="0" applyFill="1" applyBorder="1" applyAlignment="1">
      <alignment horizontal="left" vertical="top" wrapText="1"/>
    </xf>
    <xf numFmtId="0" fontId="0" fillId="10" borderId="13" xfId="0" applyFill="1" applyBorder="1" applyAlignment="1">
      <alignment horizontal="left" vertical="top" wrapText="1"/>
    </xf>
    <xf numFmtId="0" fontId="0" fillId="10" borderId="10" xfId="0" applyFill="1" applyBorder="1" applyAlignment="1">
      <alignment horizontal="left" vertical="top" wrapText="1"/>
    </xf>
    <xf numFmtId="0" fontId="0" fillId="10" borderId="0" xfId="0" applyFill="1" applyAlignment="1">
      <alignment horizontal="left" vertical="top" wrapText="1"/>
    </xf>
    <xf numFmtId="0" fontId="0" fillId="10" borderId="11" xfId="0" applyFill="1" applyBorder="1" applyAlignment="1">
      <alignment horizontal="left" vertical="top" wrapText="1"/>
    </xf>
    <xf numFmtId="0" fontId="0" fillId="10" borderId="14" xfId="0" applyFill="1" applyBorder="1" applyAlignment="1">
      <alignment horizontal="left" vertical="top" wrapText="1"/>
    </xf>
    <xf numFmtId="0" fontId="0" fillId="10" borderId="43" xfId="0" applyFill="1" applyBorder="1" applyAlignment="1">
      <alignment horizontal="left" vertical="top" wrapText="1"/>
    </xf>
    <xf numFmtId="0" fontId="0" fillId="10" borderId="15" xfId="0" applyFill="1" applyBorder="1" applyAlignment="1">
      <alignment horizontal="left" vertical="top" wrapText="1"/>
    </xf>
    <xf numFmtId="0" fontId="0" fillId="10" borderId="18" xfId="0" applyFill="1" applyBorder="1" applyAlignment="1">
      <alignment vertical="top" wrapText="1"/>
    </xf>
    <xf numFmtId="0" fontId="0" fillId="10" borderId="19" xfId="0" applyFill="1" applyBorder="1" applyAlignment="1">
      <alignment vertical="top" wrapText="1"/>
    </xf>
    <xf numFmtId="0" fontId="0" fillId="10" borderId="20" xfId="0" applyFill="1" applyBorder="1" applyAlignment="1">
      <alignment vertical="top" wrapText="1"/>
    </xf>
    <xf numFmtId="0" fontId="0" fillId="10" borderId="21" xfId="0" applyFill="1" applyBorder="1" applyAlignment="1">
      <alignment vertical="top" wrapText="1"/>
    </xf>
    <xf numFmtId="0" fontId="0" fillId="10" borderId="0" xfId="0" applyFill="1" applyAlignment="1">
      <alignment vertical="top" wrapText="1"/>
    </xf>
    <xf numFmtId="0" fontId="0" fillId="10" borderId="22" xfId="0" applyFill="1" applyBorder="1" applyAlignment="1">
      <alignment vertical="top" wrapText="1"/>
    </xf>
    <xf numFmtId="0" fontId="0" fillId="10" borderId="29" xfId="0" applyFill="1" applyBorder="1" applyAlignment="1">
      <alignment vertical="top" wrapText="1"/>
    </xf>
    <xf numFmtId="0" fontId="0" fillId="10" borderId="30" xfId="0" applyFill="1" applyBorder="1" applyAlignment="1">
      <alignment vertical="top" wrapText="1"/>
    </xf>
    <xf numFmtId="0" fontId="0" fillId="10" borderId="31" xfId="0" applyFill="1" applyBorder="1" applyAlignment="1">
      <alignment vertical="top" wrapText="1"/>
    </xf>
    <xf numFmtId="0" fontId="0" fillId="5" borderId="12" xfId="0" applyFill="1" applyBorder="1" applyAlignment="1">
      <alignment wrapText="1"/>
    </xf>
    <xf numFmtId="0" fontId="0" fillId="5" borderId="42" xfId="0" applyFill="1" applyBorder="1" applyAlignment="1">
      <alignment wrapText="1"/>
    </xf>
    <xf numFmtId="0" fontId="0" fillId="5" borderId="13" xfId="0" applyFill="1" applyBorder="1" applyAlignment="1">
      <alignment wrapText="1"/>
    </xf>
    <xf numFmtId="0" fontId="0" fillId="5" borderId="14" xfId="0" applyFill="1" applyBorder="1" applyAlignment="1">
      <alignment wrapText="1"/>
    </xf>
    <xf numFmtId="0" fontId="0" fillId="5" borderId="43" xfId="0" applyFill="1" applyBorder="1" applyAlignment="1">
      <alignment wrapText="1"/>
    </xf>
    <xf numFmtId="0" fontId="0" fillId="5" borderId="15" xfId="0" applyFill="1" applyBorder="1" applyAlignment="1">
      <alignment wrapText="1"/>
    </xf>
  </cellXfs>
  <cellStyles count="4">
    <cellStyle name="BlueHeader" xfId="3" xr:uid="{4AE4B9D5-B267-430B-9F4F-F1DA4CD902FB}"/>
    <cellStyle name="Comma" xfId="2" builtinId="3"/>
    <cellStyle name="Normal" xfId="0" builtinId="0"/>
    <cellStyle name="Percent" xfId="1" builtinId="5"/>
  </cellStyles>
  <dxfs count="12">
    <dxf>
      <fill>
        <patternFill>
          <bgColor rgb="FFFFFF00"/>
        </patternFill>
      </fill>
    </dxf>
    <dxf>
      <fill>
        <patternFill>
          <bgColor rgb="FFFFFF00"/>
        </patternFill>
      </fill>
    </dxf>
    <dxf>
      <numFmt numFmtId="0" formatCode="General"/>
    </dxf>
    <dxf>
      <font>
        <b/>
        <i val="0"/>
        <strike val="0"/>
        <condense val="0"/>
        <extend val="0"/>
        <outline val="0"/>
        <shadow val="0"/>
        <u val="none"/>
        <vertAlign val="baseline"/>
        <sz val="11"/>
        <color theme="1"/>
        <name val="Aptos Narrow"/>
        <family val="2"/>
        <scheme val="minor"/>
      </font>
    </dxf>
    <dxf>
      <numFmt numFmtId="0" formatCode="General"/>
      <fill>
        <patternFill patternType="solid">
          <fgColor indexed="64"/>
          <bgColor rgb="FFCCFFCC"/>
        </patternFill>
      </fill>
      <border diagonalUp="0" diagonalDown="0" outline="0">
        <left style="thin">
          <color indexed="64"/>
        </left>
        <right/>
        <top style="thin">
          <color indexed="64"/>
        </top>
        <bottom/>
      </border>
    </dxf>
    <dxf>
      <numFmt numFmtId="0" formatCode="General"/>
      <fill>
        <patternFill patternType="solid">
          <fgColor indexed="64"/>
          <bgColor rgb="FFCCFFCC"/>
        </patternFill>
      </fill>
      <border diagonalUp="0" diagonalDown="0">
        <left style="thin">
          <color indexed="64"/>
        </left>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Narrow"/>
        <family val="2"/>
        <scheme val="minor"/>
      </font>
      <border diagonalUp="0" diagonalDown="0" outline="0">
        <left style="thin">
          <color indexed="64"/>
        </left>
        <right style="thin">
          <color indexed="64"/>
        </right>
        <top/>
        <bottom/>
      </border>
    </dxf>
  </dxfs>
  <tableStyles count="0" defaultTableStyle="TableStyleMedium2" defaultPivotStyle="PivotStyleLight16"/>
  <colors>
    <mruColors>
      <color rgb="FFCCFFCC"/>
      <color rgb="FF0000FF"/>
      <color rgb="FF003300"/>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worksheet" Target="worksheets/sheet34.xml"/><Relationship Id="rId42" Type="http://schemas.microsoft.com/office/2017/06/relationships/rdRichValueStructure" Target="richData/rdrichvaluestructure.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sheetMetadata" Target="metadata.xml"/><Relationship Id="rId45"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microsoft.com/office/2017/06/relationships/rdRichValueTypes" Target="richData/rdRichValueTyp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 Id="rId20" Type="http://schemas.openxmlformats.org/officeDocument/2006/relationships/worksheet" Target="worksheets/sheet20.xml"/><Relationship Id="rId41" Type="http://schemas.microsoft.com/office/2017/06/relationships/rdRichValue" Target="richData/rdrichvalue.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2" Type="http://schemas.openxmlformats.org/officeDocument/2006/relationships/image" Target="../media/image3.jpg"/><Relationship Id="rId1" Type="http://schemas.openxmlformats.org/officeDocument/2006/relationships/image" Target="../media/image2.jpg"/></Relationships>
</file>

<file path=xl/drawings/_rels/drawing4.xml.rels><?xml version="1.0" encoding="UTF-8" standalone="yes"?>
<Relationships xmlns="http://schemas.openxmlformats.org/package/2006/relationships"><Relationship Id="rId3" Type="http://schemas.openxmlformats.org/officeDocument/2006/relationships/image" Target="../media/image6.jpg"/><Relationship Id="rId2" Type="http://schemas.openxmlformats.org/officeDocument/2006/relationships/image" Target="../media/image5.jpg"/><Relationship Id="rId1" Type="http://schemas.openxmlformats.org/officeDocument/2006/relationships/image" Target="../media/image4.jpg"/><Relationship Id="rId4" Type="http://schemas.openxmlformats.org/officeDocument/2006/relationships/image" Target="../media/image7.jpg"/></Relationships>
</file>

<file path=xl/drawings/drawing1.xml><?xml version="1.0" encoding="utf-8"?>
<xdr:wsDr xmlns:xdr="http://schemas.openxmlformats.org/drawingml/2006/spreadsheetDrawing" xmlns:a="http://schemas.openxmlformats.org/drawingml/2006/main">
  <xdr:twoCellAnchor>
    <xdr:from>
      <xdr:col>3</xdr:col>
      <xdr:colOff>91107</xdr:colOff>
      <xdr:row>2</xdr:row>
      <xdr:rowOff>34096</xdr:rowOff>
    </xdr:from>
    <xdr:to>
      <xdr:col>3</xdr:col>
      <xdr:colOff>132520</xdr:colOff>
      <xdr:row>2</xdr:row>
      <xdr:rowOff>216313</xdr:rowOff>
    </xdr:to>
    <xdr:cxnSp macro="">
      <xdr:nvCxnSpPr>
        <xdr:cNvPr id="2" name="Straight Arrow Connector 1">
          <a:extLst>
            <a:ext uri="{FF2B5EF4-FFF2-40B4-BE49-F238E27FC236}">
              <a16:creationId xmlns:a16="http://schemas.microsoft.com/office/drawing/2014/main" id="{5E391B96-DFC2-48B1-8AB4-43117AA85F21}"/>
            </a:ext>
          </a:extLst>
        </xdr:cNvPr>
        <xdr:cNvCxnSpPr/>
      </xdr:nvCxnSpPr>
      <xdr:spPr>
        <a:xfrm flipH="1">
          <a:off x="4548807" y="408746"/>
          <a:ext cx="41413" cy="182217"/>
        </a:xfrm>
        <a:prstGeom prst="straightConnector1">
          <a:avLst/>
        </a:prstGeom>
        <a:ln w="127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214880</xdr:colOff>
      <xdr:row>5</xdr:row>
      <xdr:rowOff>27878</xdr:rowOff>
    </xdr:from>
    <xdr:to>
      <xdr:col>3</xdr:col>
      <xdr:colOff>250903</xdr:colOff>
      <xdr:row>5</xdr:row>
      <xdr:rowOff>174891</xdr:rowOff>
    </xdr:to>
    <xdr:cxnSp macro="">
      <xdr:nvCxnSpPr>
        <xdr:cNvPr id="3" name="Straight Arrow Connector 2">
          <a:extLst>
            <a:ext uri="{FF2B5EF4-FFF2-40B4-BE49-F238E27FC236}">
              <a16:creationId xmlns:a16="http://schemas.microsoft.com/office/drawing/2014/main" id="{619FBEF7-6CBA-4F80-9FAF-E1C4C204A7F4}"/>
            </a:ext>
          </a:extLst>
        </xdr:cNvPr>
        <xdr:cNvCxnSpPr/>
      </xdr:nvCxnSpPr>
      <xdr:spPr>
        <a:xfrm flipH="1">
          <a:off x="4672580" y="1910653"/>
          <a:ext cx="36023" cy="147013"/>
        </a:xfrm>
        <a:prstGeom prst="straightConnector1">
          <a:avLst/>
        </a:prstGeom>
        <a:ln w="127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395760</xdr:colOff>
      <xdr:row>7</xdr:row>
      <xdr:rowOff>31843</xdr:rowOff>
    </xdr:from>
    <xdr:to>
      <xdr:col>3</xdr:col>
      <xdr:colOff>437173</xdr:colOff>
      <xdr:row>7</xdr:row>
      <xdr:rowOff>214060</xdr:rowOff>
    </xdr:to>
    <xdr:cxnSp macro="">
      <xdr:nvCxnSpPr>
        <xdr:cNvPr id="4" name="Straight Arrow Connector 3">
          <a:extLst>
            <a:ext uri="{FF2B5EF4-FFF2-40B4-BE49-F238E27FC236}">
              <a16:creationId xmlns:a16="http://schemas.microsoft.com/office/drawing/2014/main" id="{7C6CDB39-B7DB-4099-8456-D10EAE1421CD}"/>
            </a:ext>
          </a:extLst>
        </xdr:cNvPr>
        <xdr:cNvCxnSpPr/>
      </xdr:nvCxnSpPr>
      <xdr:spPr>
        <a:xfrm flipH="1">
          <a:off x="4853460" y="3314793"/>
          <a:ext cx="41413" cy="182217"/>
        </a:xfrm>
        <a:prstGeom prst="straightConnector1">
          <a:avLst/>
        </a:prstGeom>
        <a:ln w="127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845518</xdr:colOff>
      <xdr:row>6</xdr:row>
      <xdr:rowOff>426797</xdr:rowOff>
    </xdr:from>
    <xdr:to>
      <xdr:col>3</xdr:col>
      <xdr:colOff>886931</xdr:colOff>
      <xdr:row>6</xdr:row>
      <xdr:rowOff>609014</xdr:rowOff>
    </xdr:to>
    <xdr:cxnSp macro="">
      <xdr:nvCxnSpPr>
        <xdr:cNvPr id="5" name="Straight Arrow Connector 4">
          <a:extLst>
            <a:ext uri="{FF2B5EF4-FFF2-40B4-BE49-F238E27FC236}">
              <a16:creationId xmlns:a16="http://schemas.microsoft.com/office/drawing/2014/main" id="{A9B1F327-DC75-4803-BF8B-F6719EB16DC5}"/>
            </a:ext>
          </a:extLst>
        </xdr:cNvPr>
        <xdr:cNvCxnSpPr/>
      </xdr:nvCxnSpPr>
      <xdr:spPr>
        <a:xfrm flipH="1">
          <a:off x="5218735" y="2699545"/>
          <a:ext cx="41413" cy="182217"/>
        </a:xfrm>
        <a:prstGeom prst="straightConnector1">
          <a:avLst/>
        </a:prstGeom>
        <a:ln w="127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225322</xdr:colOff>
      <xdr:row>27</xdr:row>
      <xdr:rowOff>63685</xdr:rowOff>
    </xdr:from>
    <xdr:to>
      <xdr:col>3</xdr:col>
      <xdr:colOff>266735</xdr:colOff>
      <xdr:row>27</xdr:row>
      <xdr:rowOff>245902</xdr:rowOff>
    </xdr:to>
    <xdr:cxnSp macro="">
      <xdr:nvCxnSpPr>
        <xdr:cNvPr id="6" name="Straight Arrow Connector 5">
          <a:extLst>
            <a:ext uri="{FF2B5EF4-FFF2-40B4-BE49-F238E27FC236}">
              <a16:creationId xmlns:a16="http://schemas.microsoft.com/office/drawing/2014/main" id="{E4EDB1B1-6476-480B-8222-B277CDAA1EF7}"/>
            </a:ext>
          </a:extLst>
        </xdr:cNvPr>
        <xdr:cNvCxnSpPr/>
      </xdr:nvCxnSpPr>
      <xdr:spPr>
        <a:xfrm flipH="1">
          <a:off x="4598539" y="13812815"/>
          <a:ext cx="41413" cy="182217"/>
        </a:xfrm>
        <a:prstGeom prst="straightConnector1">
          <a:avLst/>
        </a:prstGeom>
        <a:ln w="127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500593</xdr:colOff>
      <xdr:row>27</xdr:row>
      <xdr:rowOff>73957</xdr:rowOff>
    </xdr:from>
    <xdr:to>
      <xdr:col>3</xdr:col>
      <xdr:colOff>542006</xdr:colOff>
      <xdr:row>27</xdr:row>
      <xdr:rowOff>256174</xdr:rowOff>
    </xdr:to>
    <xdr:cxnSp macro="">
      <xdr:nvCxnSpPr>
        <xdr:cNvPr id="7" name="Straight Arrow Connector 6">
          <a:extLst>
            <a:ext uri="{FF2B5EF4-FFF2-40B4-BE49-F238E27FC236}">
              <a16:creationId xmlns:a16="http://schemas.microsoft.com/office/drawing/2014/main" id="{C950FC76-54DC-4E6D-8815-14BAAC46DB0D}"/>
            </a:ext>
          </a:extLst>
        </xdr:cNvPr>
        <xdr:cNvCxnSpPr/>
      </xdr:nvCxnSpPr>
      <xdr:spPr>
        <a:xfrm flipH="1">
          <a:off x="4958293" y="14285257"/>
          <a:ext cx="41413" cy="182217"/>
        </a:xfrm>
        <a:prstGeom prst="straightConnector1">
          <a:avLst/>
        </a:prstGeom>
        <a:ln w="127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242979</xdr:colOff>
      <xdr:row>8</xdr:row>
      <xdr:rowOff>173413</xdr:rowOff>
    </xdr:from>
    <xdr:to>
      <xdr:col>3</xdr:col>
      <xdr:colOff>284392</xdr:colOff>
      <xdr:row>8</xdr:row>
      <xdr:rowOff>355630</xdr:rowOff>
    </xdr:to>
    <xdr:cxnSp macro="">
      <xdr:nvCxnSpPr>
        <xdr:cNvPr id="8" name="Straight Arrow Connector 7">
          <a:extLst>
            <a:ext uri="{FF2B5EF4-FFF2-40B4-BE49-F238E27FC236}">
              <a16:creationId xmlns:a16="http://schemas.microsoft.com/office/drawing/2014/main" id="{BC50194B-3145-4D07-896E-725BEF48BFC4}"/>
            </a:ext>
          </a:extLst>
        </xdr:cNvPr>
        <xdr:cNvCxnSpPr/>
      </xdr:nvCxnSpPr>
      <xdr:spPr>
        <a:xfrm flipH="1">
          <a:off x="4700679" y="3831013"/>
          <a:ext cx="41413" cy="182217"/>
        </a:xfrm>
        <a:prstGeom prst="straightConnector1">
          <a:avLst/>
        </a:prstGeom>
        <a:ln w="127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526677</xdr:colOff>
      <xdr:row>9</xdr:row>
      <xdr:rowOff>527841</xdr:rowOff>
    </xdr:from>
    <xdr:to>
      <xdr:col>3</xdr:col>
      <xdr:colOff>568090</xdr:colOff>
      <xdr:row>9</xdr:row>
      <xdr:rowOff>710058</xdr:rowOff>
    </xdr:to>
    <xdr:cxnSp macro="">
      <xdr:nvCxnSpPr>
        <xdr:cNvPr id="9" name="Straight Arrow Connector 8">
          <a:extLst>
            <a:ext uri="{FF2B5EF4-FFF2-40B4-BE49-F238E27FC236}">
              <a16:creationId xmlns:a16="http://schemas.microsoft.com/office/drawing/2014/main" id="{DCC0B940-4544-4AEA-B87C-DECECC4EF8B1}"/>
            </a:ext>
          </a:extLst>
        </xdr:cNvPr>
        <xdr:cNvCxnSpPr/>
      </xdr:nvCxnSpPr>
      <xdr:spPr>
        <a:xfrm flipH="1">
          <a:off x="4984377" y="4756941"/>
          <a:ext cx="41413" cy="182217"/>
        </a:xfrm>
        <a:prstGeom prst="straightConnector1">
          <a:avLst/>
        </a:prstGeom>
        <a:ln w="127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1224616</xdr:colOff>
      <xdr:row>9</xdr:row>
      <xdr:rowOff>538113</xdr:rowOff>
    </xdr:from>
    <xdr:to>
      <xdr:col>3</xdr:col>
      <xdr:colOff>1266029</xdr:colOff>
      <xdr:row>9</xdr:row>
      <xdr:rowOff>720330</xdr:rowOff>
    </xdr:to>
    <xdr:cxnSp macro="">
      <xdr:nvCxnSpPr>
        <xdr:cNvPr id="10" name="Straight Arrow Connector 9">
          <a:extLst>
            <a:ext uri="{FF2B5EF4-FFF2-40B4-BE49-F238E27FC236}">
              <a16:creationId xmlns:a16="http://schemas.microsoft.com/office/drawing/2014/main" id="{B855D5F3-6A10-4494-895E-B0E923C0CE05}"/>
            </a:ext>
          </a:extLst>
        </xdr:cNvPr>
        <xdr:cNvCxnSpPr/>
      </xdr:nvCxnSpPr>
      <xdr:spPr>
        <a:xfrm flipH="1">
          <a:off x="5682316" y="4767213"/>
          <a:ext cx="41413" cy="182217"/>
        </a:xfrm>
        <a:prstGeom prst="straightConnector1">
          <a:avLst/>
        </a:prstGeom>
        <a:ln w="127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1855552</xdr:colOff>
      <xdr:row>9</xdr:row>
      <xdr:rowOff>548385</xdr:rowOff>
    </xdr:from>
    <xdr:to>
      <xdr:col>3</xdr:col>
      <xdr:colOff>1896965</xdr:colOff>
      <xdr:row>9</xdr:row>
      <xdr:rowOff>730602</xdr:rowOff>
    </xdr:to>
    <xdr:cxnSp macro="">
      <xdr:nvCxnSpPr>
        <xdr:cNvPr id="11" name="Straight Arrow Connector 10">
          <a:extLst>
            <a:ext uri="{FF2B5EF4-FFF2-40B4-BE49-F238E27FC236}">
              <a16:creationId xmlns:a16="http://schemas.microsoft.com/office/drawing/2014/main" id="{A73A5801-A954-48E1-8889-DABFACB7A5CA}"/>
            </a:ext>
          </a:extLst>
        </xdr:cNvPr>
        <xdr:cNvCxnSpPr/>
      </xdr:nvCxnSpPr>
      <xdr:spPr>
        <a:xfrm flipH="1">
          <a:off x="6228769" y="4517411"/>
          <a:ext cx="41413" cy="182217"/>
        </a:xfrm>
        <a:prstGeom prst="straightConnector1">
          <a:avLst/>
        </a:prstGeom>
        <a:ln w="127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570969</xdr:colOff>
      <xdr:row>10</xdr:row>
      <xdr:rowOff>212914</xdr:rowOff>
    </xdr:from>
    <xdr:to>
      <xdr:col>3</xdr:col>
      <xdr:colOff>612382</xdr:colOff>
      <xdr:row>10</xdr:row>
      <xdr:rowOff>395131</xdr:rowOff>
    </xdr:to>
    <xdr:cxnSp macro="">
      <xdr:nvCxnSpPr>
        <xdr:cNvPr id="12" name="Straight Arrow Connector 11">
          <a:extLst>
            <a:ext uri="{FF2B5EF4-FFF2-40B4-BE49-F238E27FC236}">
              <a16:creationId xmlns:a16="http://schemas.microsoft.com/office/drawing/2014/main" id="{603127C4-81C7-4209-901B-0C64EF680A9A}"/>
            </a:ext>
          </a:extLst>
        </xdr:cNvPr>
        <xdr:cNvCxnSpPr/>
      </xdr:nvCxnSpPr>
      <xdr:spPr>
        <a:xfrm flipH="1">
          <a:off x="4944186" y="5102966"/>
          <a:ext cx="41413" cy="182217"/>
        </a:xfrm>
        <a:prstGeom prst="straightConnector1">
          <a:avLst/>
        </a:prstGeom>
        <a:ln w="127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76666</xdr:colOff>
      <xdr:row>30</xdr:row>
      <xdr:rowOff>345007</xdr:rowOff>
    </xdr:from>
    <xdr:to>
      <xdr:col>3</xdr:col>
      <xdr:colOff>118079</xdr:colOff>
      <xdr:row>30</xdr:row>
      <xdr:rowOff>527224</xdr:rowOff>
    </xdr:to>
    <xdr:cxnSp macro="">
      <xdr:nvCxnSpPr>
        <xdr:cNvPr id="13" name="Straight Arrow Connector 12">
          <a:extLst>
            <a:ext uri="{FF2B5EF4-FFF2-40B4-BE49-F238E27FC236}">
              <a16:creationId xmlns:a16="http://schemas.microsoft.com/office/drawing/2014/main" id="{D69AA796-2730-4CA9-B040-E0CDA6926998}"/>
            </a:ext>
          </a:extLst>
        </xdr:cNvPr>
        <xdr:cNvCxnSpPr/>
      </xdr:nvCxnSpPr>
      <xdr:spPr>
        <a:xfrm flipH="1">
          <a:off x="4452723" y="15552350"/>
          <a:ext cx="41413" cy="182217"/>
        </a:xfrm>
        <a:prstGeom prst="straightConnector1">
          <a:avLst/>
        </a:prstGeom>
        <a:ln w="127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2279535</xdr:colOff>
      <xdr:row>30</xdr:row>
      <xdr:rowOff>347434</xdr:rowOff>
    </xdr:from>
    <xdr:to>
      <xdr:col>3</xdr:col>
      <xdr:colOff>2320948</xdr:colOff>
      <xdr:row>30</xdr:row>
      <xdr:rowOff>529651</xdr:rowOff>
    </xdr:to>
    <xdr:cxnSp macro="">
      <xdr:nvCxnSpPr>
        <xdr:cNvPr id="14" name="Straight Arrow Connector 13">
          <a:extLst>
            <a:ext uri="{FF2B5EF4-FFF2-40B4-BE49-F238E27FC236}">
              <a16:creationId xmlns:a16="http://schemas.microsoft.com/office/drawing/2014/main" id="{4254594F-DC30-4B0E-B5FE-96352C8E43A6}"/>
            </a:ext>
          </a:extLst>
        </xdr:cNvPr>
        <xdr:cNvCxnSpPr/>
      </xdr:nvCxnSpPr>
      <xdr:spPr>
        <a:xfrm flipH="1">
          <a:off x="6655592" y="15554777"/>
          <a:ext cx="41413" cy="182217"/>
        </a:xfrm>
        <a:prstGeom prst="straightConnector1">
          <a:avLst/>
        </a:prstGeom>
        <a:ln w="127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416658</xdr:colOff>
      <xdr:row>30</xdr:row>
      <xdr:rowOff>365030</xdr:rowOff>
    </xdr:from>
    <xdr:to>
      <xdr:col>3</xdr:col>
      <xdr:colOff>458071</xdr:colOff>
      <xdr:row>30</xdr:row>
      <xdr:rowOff>547247</xdr:rowOff>
    </xdr:to>
    <xdr:cxnSp macro="">
      <xdr:nvCxnSpPr>
        <xdr:cNvPr id="15" name="Straight Arrow Connector 14">
          <a:extLst>
            <a:ext uri="{FF2B5EF4-FFF2-40B4-BE49-F238E27FC236}">
              <a16:creationId xmlns:a16="http://schemas.microsoft.com/office/drawing/2014/main" id="{40A59A9D-7254-495C-AD34-0743087612DB}"/>
            </a:ext>
          </a:extLst>
        </xdr:cNvPr>
        <xdr:cNvCxnSpPr/>
      </xdr:nvCxnSpPr>
      <xdr:spPr>
        <a:xfrm flipH="1">
          <a:off x="4792715" y="15572373"/>
          <a:ext cx="41413" cy="182217"/>
        </a:xfrm>
        <a:prstGeom prst="straightConnector1">
          <a:avLst/>
        </a:prstGeom>
        <a:ln w="127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1731346</xdr:colOff>
      <xdr:row>30</xdr:row>
      <xdr:rowOff>359806</xdr:rowOff>
    </xdr:from>
    <xdr:to>
      <xdr:col>3</xdr:col>
      <xdr:colOff>1772759</xdr:colOff>
      <xdr:row>30</xdr:row>
      <xdr:rowOff>542023</xdr:rowOff>
    </xdr:to>
    <xdr:cxnSp macro="">
      <xdr:nvCxnSpPr>
        <xdr:cNvPr id="16" name="Straight Arrow Connector 15">
          <a:extLst>
            <a:ext uri="{FF2B5EF4-FFF2-40B4-BE49-F238E27FC236}">
              <a16:creationId xmlns:a16="http://schemas.microsoft.com/office/drawing/2014/main" id="{37456F5C-D15E-494D-A72F-BA1BF7085406}"/>
            </a:ext>
          </a:extLst>
        </xdr:cNvPr>
        <xdr:cNvCxnSpPr/>
      </xdr:nvCxnSpPr>
      <xdr:spPr>
        <a:xfrm flipH="1">
          <a:off x="6107403" y="15567149"/>
          <a:ext cx="41413" cy="182217"/>
        </a:xfrm>
        <a:prstGeom prst="straightConnector1">
          <a:avLst/>
        </a:prstGeom>
        <a:ln w="127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438153</xdr:colOff>
      <xdr:row>29</xdr:row>
      <xdr:rowOff>202411</xdr:rowOff>
    </xdr:from>
    <xdr:to>
      <xdr:col>3</xdr:col>
      <xdr:colOff>479566</xdr:colOff>
      <xdr:row>29</xdr:row>
      <xdr:rowOff>384628</xdr:rowOff>
    </xdr:to>
    <xdr:cxnSp macro="">
      <xdr:nvCxnSpPr>
        <xdr:cNvPr id="17" name="Straight Arrow Connector 16">
          <a:extLst>
            <a:ext uri="{FF2B5EF4-FFF2-40B4-BE49-F238E27FC236}">
              <a16:creationId xmlns:a16="http://schemas.microsoft.com/office/drawing/2014/main" id="{5E005EF9-97DA-4525-B2A7-405EE48316A5}"/>
            </a:ext>
          </a:extLst>
        </xdr:cNvPr>
        <xdr:cNvCxnSpPr/>
      </xdr:nvCxnSpPr>
      <xdr:spPr>
        <a:xfrm flipH="1">
          <a:off x="4895853" y="15270961"/>
          <a:ext cx="41413" cy="182217"/>
        </a:xfrm>
        <a:prstGeom prst="straightConnector1">
          <a:avLst/>
        </a:prstGeom>
        <a:ln w="127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1675085</xdr:colOff>
      <xdr:row>24</xdr:row>
      <xdr:rowOff>564728</xdr:rowOff>
    </xdr:from>
    <xdr:to>
      <xdr:col>3</xdr:col>
      <xdr:colOff>1716498</xdr:colOff>
      <xdr:row>24</xdr:row>
      <xdr:rowOff>746945</xdr:rowOff>
    </xdr:to>
    <xdr:cxnSp macro="">
      <xdr:nvCxnSpPr>
        <xdr:cNvPr id="18" name="Straight Arrow Connector 17">
          <a:extLst>
            <a:ext uri="{FF2B5EF4-FFF2-40B4-BE49-F238E27FC236}">
              <a16:creationId xmlns:a16="http://schemas.microsoft.com/office/drawing/2014/main" id="{73C3D0EF-8F9A-4294-BD67-6F7F6B8E0A44}"/>
            </a:ext>
          </a:extLst>
        </xdr:cNvPr>
        <xdr:cNvCxnSpPr/>
      </xdr:nvCxnSpPr>
      <xdr:spPr>
        <a:xfrm flipH="1">
          <a:off x="6132785" y="11547053"/>
          <a:ext cx="41413" cy="182217"/>
        </a:xfrm>
        <a:prstGeom prst="straightConnector1">
          <a:avLst/>
        </a:prstGeom>
        <a:ln w="127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757572</xdr:colOff>
      <xdr:row>5</xdr:row>
      <xdr:rowOff>17656</xdr:rowOff>
    </xdr:from>
    <xdr:to>
      <xdr:col>3</xdr:col>
      <xdr:colOff>793595</xdr:colOff>
      <xdr:row>5</xdr:row>
      <xdr:rowOff>164669</xdr:rowOff>
    </xdr:to>
    <xdr:cxnSp macro="">
      <xdr:nvCxnSpPr>
        <xdr:cNvPr id="19" name="Straight Arrow Connector 18">
          <a:extLst>
            <a:ext uri="{FF2B5EF4-FFF2-40B4-BE49-F238E27FC236}">
              <a16:creationId xmlns:a16="http://schemas.microsoft.com/office/drawing/2014/main" id="{B8CFFE6F-D898-4762-A776-6C4E96E4111F}"/>
            </a:ext>
          </a:extLst>
        </xdr:cNvPr>
        <xdr:cNvCxnSpPr/>
      </xdr:nvCxnSpPr>
      <xdr:spPr>
        <a:xfrm flipH="1">
          <a:off x="5215272" y="1900431"/>
          <a:ext cx="36023" cy="147013"/>
        </a:xfrm>
        <a:prstGeom prst="straightConnector1">
          <a:avLst/>
        </a:prstGeom>
        <a:ln w="127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1565106</xdr:colOff>
      <xdr:row>5</xdr:row>
      <xdr:rowOff>262983</xdr:rowOff>
    </xdr:from>
    <xdr:to>
      <xdr:col>3</xdr:col>
      <xdr:colOff>1601129</xdr:colOff>
      <xdr:row>5</xdr:row>
      <xdr:rowOff>409996</xdr:rowOff>
    </xdr:to>
    <xdr:cxnSp macro="">
      <xdr:nvCxnSpPr>
        <xdr:cNvPr id="20" name="Straight Arrow Connector 19">
          <a:extLst>
            <a:ext uri="{FF2B5EF4-FFF2-40B4-BE49-F238E27FC236}">
              <a16:creationId xmlns:a16="http://schemas.microsoft.com/office/drawing/2014/main" id="{7BEB7D01-2730-4EA6-AC68-762FBEE98375}"/>
            </a:ext>
          </a:extLst>
        </xdr:cNvPr>
        <xdr:cNvCxnSpPr/>
      </xdr:nvCxnSpPr>
      <xdr:spPr>
        <a:xfrm flipH="1">
          <a:off x="6022806" y="2145758"/>
          <a:ext cx="36023" cy="147013"/>
        </a:xfrm>
        <a:prstGeom prst="straightConnector1">
          <a:avLst/>
        </a:prstGeom>
        <a:ln w="127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1224453</xdr:colOff>
      <xdr:row>10</xdr:row>
      <xdr:rowOff>234976</xdr:rowOff>
    </xdr:from>
    <xdr:to>
      <xdr:col>3</xdr:col>
      <xdr:colOff>1265866</xdr:colOff>
      <xdr:row>10</xdr:row>
      <xdr:rowOff>417193</xdr:rowOff>
    </xdr:to>
    <xdr:cxnSp macro="">
      <xdr:nvCxnSpPr>
        <xdr:cNvPr id="21" name="Straight Arrow Connector 20">
          <a:extLst>
            <a:ext uri="{FF2B5EF4-FFF2-40B4-BE49-F238E27FC236}">
              <a16:creationId xmlns:a16="http://schemas.microsoft.com/office/drawing/2014/main" id="{6B777B20-3860-46BD-B8D6-C050171BADB0}"/>
            </a:ext>
          </a:extLst>
        </xdr:cNvPr>
        <xdr:cNvCxnSpPr/>
      </xdr:nvCxnSpPr>
      <xdr:spPr>
        <a:xfrm flipH="1">
          <a:off x="5597670" y="5125028"/>
          <a:ext cx="41413" cy="182217"/>
        </a:xfrm>
        <a:prstGeom prst="straightConnector1">
          <a:avLst/>
        </a:prstGeom>
        <a:ln w="127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1904004</xdr:colOff>
      <xdr:row>29</xdr:row>
      <xdr:rowOff>214447</xdr:rowOff>
    </xdr:from>
    <xdr:to>
      <xdr:col>3</xdr:col>
      <xdr:colOff>1945417</xdr:colOff>
      <xdr:row>29</xdr:row>
      <xdr:rowOff>396664</xdr:rowOff>
    </xdr:to>
    <xdr:cxnSp macro="">
      <xdr:nvCxnSpPr>
        <xdr:cNvPr id="22" name="Straight Arrow Connector 21">
          <a:extLst>
            <a:ext uri="{FF2B5EF4-FFF2-40B4-BE49-F238E27FC236}">
              <a16:creationId xmlns:a16="http://schemas.microsoft.com/office/drawing/2014/main" id="{2BA05C19-C434-48AC-8207-F68273D0854D}"/>
            </a:ext>
          </a:extLst>
        </xdr:cNvPr>
        <xdr:cNvCxnSpPr/>
      </xdr:nvCxnSpPr>
      <xdr:spPr>
        <a:xfrm flipH="1">
          <a:off x="6361704" y="15282997"/>
          <a:ext cx="41413" cy="182217"/>
        </a:xfrm>
        <a:prstGeom prst="straightConnector1">
          <a:avLst/>
        </a:prstGeom>
        <a:ln w="127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1304884</xdr:colOff>
      <xdr:row>27</xdr:row>
      <xdr:rowOff>58269</xdr:rowOff>
    </xdr:from>
    <xdr:to>
      <xdr:col>3</xdr:col>
      <xdr:colOff>1346297</xdr:colOff>
      <xdr:row>27</xdr:row>
      <xdr:rowOff>240486</xdr:rowOff>
    </xdr:to>
    <xdr:cxnSp macro="">
      <xdr:nvCxnSpPr>
        <xdr:cNvPr id="23" name="Straight Arrow Connector 22">
          <a:extLst>
            <a:ext uri="{FF2B5EF4-FFF2-40B4-BE49-F238E27FC236}">
              <a16:creationId xmlns:a16="http://schemas.microsoft.com/office/drawing/2014/main" id="{95635849-A0B0-4CE3-B5AE-8333F8B61492}"/>
            </a:ext>
          </a:extLst>
        </xdr:cNvPr>
        <xdr:cNvCxnSpPr/>
      </xdr:nvCxnSpPr>
      <xdr:spPr>
        <a:xfrm flipH="1">
          <a:off x="5678101" y="13807399"/>
          <a:ext cx="41413" cy="182217"/>
        </a:xfrm>
        <a:prstGeom prst="straightConnector1">
          <a:avLst/>
        </a:prstGeom>
        <a:ln w="127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362326</xdr:colOff>
      <xdr:row>28</xdr:row>
      <xdr:rowOff>63685</xdr:rowOff>
    </xdr:from>
    <xdr:to>
      <xdr:col>3</xdr:col>
      <xdr:colOff>403739</xdr:colOff>
      <xdr:row>28</xdr:row>
      <xdr:rowOff>245902</xdr:rowOff>
    </xdr:to>
    <xdr:cxnSp macro="">
      <xdr:nvCxnSpPr>
        <xdr:cNvPr id="24" name="Straight Arrow Connector 23">
          <a:extLst>
            <a:ext uri="{FF2B5EF4-FFF2-40B4-BE49-F238E27FC236}">
              <a16:creationId xmlns:a16="http://schemas.microsoft.com/office/drawing/2014/main" id="{01B85C3D-09C4-420D-A223-1F32C5C8E8BC}"/>
            </a:ext>
          </a:extLst>
        </xdr:cNvPr>
        <xdr:cNvCxnSpPr/>
      </xdr:nvCxnSpPr>
      <xdr:spPr>
        <a:xfrm flipH="1">
          <a:off x="4820026" y="14703610"/>
          <a:ext cx="41413" cy="182217"/>
        </a:xfrm>
        <a:prstGeom prst="straightConnector1">
          <a:avLst/>
        </a:prstGeom>
        <a:ln w="127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1065464</xdr:colOff>
      <xdr:row>28</xdr:row>
      <xdr:rowOff>80681</xdr:rowOff>
    </xdr:from>
    <xdr:to>
      <xdr:col>3</xdr:col>
      <xdr:colOff>1106877</xdr:colOff>
      <xdr:row>28</xdr:row>
      <xdr:rowOff>262898</xdr:rowOff>
    </xdr:to>
    <xdr:cxnSp macro="">
      <xdr:nvCxnSpPr>
        <xdr:cNvPr id="25" name="Straight Arrow Connector 24">
          <a:extLst>
            <a:ext uri="{FF2B5EF4-FFF2-40B4-BE49-F238E27FC236}">
              <a16:creationId xmlns:a16="http://schemas.microsoft.com/office/drawing/2014/main" id="{8D862D81-E220-4DA8-80DD-B9DA7F2D36CB}"/>
            </a:ext>
          </a:extLst>
        </xdr:cNvPr>
        <xdr:cNvCxnSpPr/>
      </xdr:nvCxnSpPr>
      <xdr:spPr>
        <a:xfrm flipH="1">
          <a:off x="5523164" y="14720606"/>
          <a:ext cx="41413" cy="182217"/>
        </a:xfrm>
        <a:prstGeom prst="straightConnector1">
          <a:avLst/>
        </a:prstGeom>
        <a:ln w="127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86590</xdr:colOff>
      <xdr:row>0</xdr:row>
      <xdr:rowOff>103909</xdr:rowOff>
    </xdr:from>
    <xdr:to>
      <xdr:col>8</xdr:col>
      <xdr:colOff>403412</xdr:colOff>
      <xdr:row>43</xdr:row>
      <xdr:rowOff>80682</xdr:rowOff>
    </xdr:to>
    <xdr:pic>
      <xdr:nvPicPr>
        <xdr:cNvPr id="2" name="Picture 1">
          <a:extLst>
            <a:ext uri="{FF2B5EF4-FFF2-40B4-BE49-F238E27FC236}">
              <a16:creationId xmlns:a16="http://schemas.microsoft.com/office/drawing/2014/main" id="{3C74612C-B8E4-4356-95C1-2E8B101494D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6590" y="103909"/>
          <a:ext cx="8205763" cy="7686420"/>
        </a:xfrm>
        <a:prstGeom prst="rect">
          <a:avLst/>
        </a:prstGeom>
        <a:ln w="12700">
          <a:solidFill>
            <a:schemeClr val="tx1"/>
          </a:solid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197829</xdr:colOff>
      <xdr:row>55</xdr:row>
      <xdr:rowOff>8187</xdr:rowOff>
    </xdr:from>
    <xdr:to>
      <xdr:col>14</xdr:col>
      <xdr:colOff>22704</xdr:colOff>
      <xdr:row>68</xdr:row>
      <xdr:rowOff>120748</xdr:rowOff>
    </xdr:to>
    <xdr:pic>
      <xdr:nvPicPr>
        <xdr:cNvPr id="4" name="Picture 3">
          <a:extLst>
            <a:ext uri="{FF2B5EF4-FFF2-40B4-BE49-F238E27FC236}">
              <a16:creationId xmlns:a16="http://schemas.microsoft.com/office/drawing/2014/main" id="{8140C63F-4623-4486-8497-FBC0430B6A1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986749" y="10066587"/>
          <a:ext cx="8437337" cy="2493812"/>
        </a:xfrm>
        <a:prstGeom prst="rect">
          <a:avLst/>
        </a:prstGeom>
        <a:noFill/>
        <a:ln w="12700">
          <a:solidFill>
            <a:schemeClr val="accent1">
              <a:shade val="50000"/>
            </a:schemeClr>
          </a:solidFill>
        </a:ln>
      </xdr:spPr>
    </xdr:pic>
    <xdr:clientData/>
  </xdr:twoCellAnchor>
  <xdr:twoCellAnchor editAs="oneCell">
    <xdr:from>
      <xdr:col>5</xdr:col>
      <xdr:colOff>197829</xdr:colOff>
      <xdr:row>38</xdr:row>
      <xdr:rowOff>131887</xdr:rowOff>
    </xdr:from>
    <xdr:to>
      <xdr:col>10</xdr:col>
      <xdr:colOff>1387425</xdr:colOff>
      <xdr:row>55</xdr:row>
      <xdr:rowOff>6142</xdr:rowOff>
    </xdr:to>
    <xdr:pic>
      <xdr:nvPicPr>
        <xdr:cNvPr id="5" name="Picture 4">
          <a:extLst>
            <a:ext uri="{FF2B5EF4-FFF2-40B4-BE49-F238E27FC236}">
              <a16:creationId xmlns:a16="http://schemas.microsoft.com/office/drawing/2014/main" id="{D8DD04F4-B926-49D5-BFCF-375A1939B57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986749" y="7081327"/>
          <a:ext cx="5728774" cy="2987025"/>
        </a:xfrm>
        <a:prstGeom prst="rect">
          <a:avLst/>
        </a:prstGeom>
      </xdr:spPr>
    </xdr:pic>
    <xdr:clientData/>
  </xdr:twoCellAnchor>
  <xdr:twoCellAnchor>
    <xdr:from>
      <xdr:col>5</xdr:col>
      <xdr:colOff>338296</xdr:colOff>
      <xdr:row>14</xdr:row>
      <xdr:rowOff>128335</xdr:rowOff>
    </xdr:from>
    <xdr:to>
      <xdr:col>9</xdr:col>
      <xdr:colOff>530086</xdr:colOff>
      <xdr:row>16</xdr:row>
      <xdr:rowOff>13253</xdr:rowOff>
    </xdr:to>
    <xdr:sp macro="" textlink="">
      <xdr:nvSpPr>
        <xdr:cNvPr id="20" name="Rectangle 19">
          <a:extLst>
            <a:ext uri="{FF2B5EF4-FFF2-40B4-BE49-F238E27FC236}">
              <a16:creationId xmlns:a16="http://schemas.microsoft.com/office/drawing/2014/main" id="{85A67078-00BD-945E-D859-25D30A37BA6B}"/>
            </a:ext>
          </a:extLst>
        </xdr:cNvPr>
        <xdr:cNvSpPr/>
      </xdr:nvSpPr>
      <xdr:spPr>
        <a:xfrm>
          <a:off x="3121253" y="2571705"/>
          <a:ext cx="3562811" cy="26591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b="1">
              <a:solidFill>
                <a:schemeClr val="tx1"/>
              </a:solidFill>
            </a:rPr>
            <a:t> SUM Function formulas are </a:t>
          </a:r>
          <a:r>
            <a:rPr lang="en-US" sz="1100" b="1" kern="1200">
              <a:solidFill>
                <a:schemeClr val="tx1"/>
              </a:solidFill>
            </a:rPr>
            <a:t>Aggregate Formulas</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38100</xdr:colOff>
      <xdr:row>18</xdr:row>
      <xdr:rowOff>119743</xdr:rowOff>
    </xdr:from>
    <xdr:to>
      <xdr:col>6</xdr:col>
      <xdr:colOff>1537</xdr:colOff>
      <xdr:row>18</xdr:row>
      <xdr:rowOff>686709</xdr:rowOff>
    </xdr:to>
    <xdr:pic>
      <xdr:nvPicPr>
        <xdr:cNvPr id="2" name="Picture 1">
          <a:extLst>
            <a:ext uri="{FF2B5EF4-FFF2-40B4-BE49-F238E27FC236}">
              <a16:creationId xmlns:a16="http://schemas.microsoft.com/office/drawing/2014/main" id="{31E7DF57-A06A-4AF8-B04B-29A8C65A5A7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96850" y="1065893"/>
          <a:ext cx="1420983" cy="570141"/>
        </a:xfrm>
        <a:prstGeom prst="rect">
          <a:avLst/>
        </a:prstGeom>
      </xdr:spPr>
    </xdr:pic>
    <xdr:clientData/>
  </xdr:twoCellAnchor>
  <xdr:twoCellAnchor editAs="oneCell">
    <xdr:from>
      <xdr:col>5</xdr:col>
      <xdr:colOff>19371</xdr:colOff>
      <xdr:row>19</xdr:row>
      <xdr:rowOff>57473</xdr:rowOff>
    </xdr:from>
    <xdr:to>
      <xdr:col>5</xdr:col>
      <xdr:colOff>1378305</xdr:colOff>
      <xdr:row>19</xdr:row>
      <xdr:rowOff>679178</xdr:rowOff>
    </xdr:to>
    <xdr:pic>
      <xdr:nvPicPr>
        <xdr:cNvPr id="3" name="Picture 2">
          <a:extLst>
            <a:ext uri="{FF2B5EF4-FFF2-40B4-BE49-F238E27FC236}">
              <a16:creationId xmlns:a16="http://schemas.microsoft.com/office/drawing/2014/main" id="{F8077A7C-0634-4781-ADB2-01BDCB7389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8121" y="1746573"/>
          <a:ext cx="1357029" cy="617260"/>
        </a:xfrm>
        <a:prstGeom prst="rect">
          <a:avLst/>
        </a:prstGeom>
      </xdr:spPr>
    </xdr:pic>
    <xdr:clientData/>
  </xdr:twoCellAnchor>
  <xdr:twoCellAnchor editAs="oneCell">
    <xdr:from>
      <xdr:col>5</xdr:col>
      <xdr:colOff>27857</xdr:colOff>
      <xdr:row>20</xdr:row>
      <xdr:rowOff>76842</xdr:rowOff>
    </xdr:from>
    <xdr:to>
      <xdr:col>5</xdr:col>
      <xdr:colOff>1362596</xdr:colOff>
      <xdr:row>20</xdr:row>
      <xdr:rowOff>709240</xdr:rowOff>
    </xdr:to>
    <xdr:pic>
      <xdr:nvPicPr>
        <xdr:cNvPr id="4" name="Picture 3">
          <a:extLst>
            <a:ext uri="{FF2B5EF4-FFF2-40B4-BE49-F238E27FC236}">
              <a16:creationId xmlns:a16="http://schemas.microsoft.com/office/drawing/2014/main" id="{F3D25A55-9022-4538-BCFC-6EAD90E2C83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6607" y="2508892"/>
          <a:ext cx="1333469" cy="626683"/>
        </a:xfrm>
        <a:prstGeom prst="rect">
          <a:avLst/>
        </a:prstGeom>
      </xdr:spPr>
    </xdr:pic>
    <xdr:clientData/>
  </xdr:twoCellAnchor>
  <xdr:twoCellAnchor editAs="oneCell">
    <xdr:from>
      <xdr:col>5</xdr:col>
      <xdr:colOff>20015</xdr:colOff>
      <xdr:row>21</xdr:row>
      <xdr:rowOff>85329</xdr:rowOff>
    </xdr:from>
    <xdr:to>
      <xdr:col>5</xdr:col>
      <xdr:colOff>1378949</xdr:colOff>
      <xdr:row>21</xdr:row>
      <xdr:rowOff>709841</xdr:rowOff>
    </xdr:to>
    <xdr:pic>
      <xdr:nvPicPr>
        <xdr:cNvPr id="5" name="Picture 4">
          <a:extLst>
            <a:ext uri="{FF2B5EF4-FFF2-40B4-BE49-F238E27FC236}">
              <a16:creationId xmlns:a16="http://schemas.microsoft.com/office/drawing/2014/main" id="{6D975687-0C5C-49B3-A65C-AEFDE311E6F5}"/>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78765" y="3260329"/>
          <a:ext cx="1357029" cy="621972"/>
        </a:xfrm>
        <a:prstGeom prst="rect">
          <a:avLst/>
        </a:prstGeom>
      </xdr:spPr>
    </xdr:pic>
    <xdr:clientData/>
  </xdr:two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red</v>
    <v>2</v>
    <v>5</v>
    <v>5</v>
  </rv>
  <rv s="1">
    <v>two</v>
    <v>2</v>
    <v>27</v>
    <v>5</v>
  </rv>
</rvData>
</file>

<file path=xl/richData/rdrichvaluestructure.xml><?xml version="1.0" encoding="utf-8"?>
<rvStructures xmlns="http://schemas.microsoft.com/office/spreadsheetml/2017/richdata" count="2">
  <s t="_error">
    <k n="argument" t="s"/>
    <k n="errorType" t="i"/>
    <k n="ptg" t="i"/>
    <k n="subType" t="i"/>
  </s>
  <s t="_error">
    <k n="argument" t="s"/>
    <k n="errorType" t="i"/>
    <k n="iftab"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DF3DD3-6047-497A-9D89-B8A7F95BB9DD}" name="TaxTable" displayName="TaxTable" ref="H8:I15" totalsRowCount="1" headerRowDxfId="11" headerRowBorderDxfId="10" tableBorderDxfId="9" totalsRowBorderDxfId="8">
  <autoFilter ref="H8:I14" xr:uid="{00DF3DD3-6047-497A-9D89-B8A7F95BB9DD}"/>
  <tableColumns count="2">
    <tableColumn id="1" xr3:uid="{4844B8A4-D987-402C-9F1D-8A4397A6F395}" name="Sales" totalsRowLabel="Total" dataDxfId="7" totalsRowDxfId="6"/>
    <tableColumn id="2" xr3:uid="{6828C25E-3F54-4C66-8CE4-7FF132C200F5}" name="Tax Amount" totalsRowFunction="sum" dataDxfId="5" totalsRowDxfId="4">
      <calculatedColumnFormula>ROUND(TaxTable[[#This Row],[Sales]]*$I$6,2)</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C8FD873-F596-4D74-B035-D356AA77A2F9}" name="fSalesTest016910" displayName="fSalesTest016910" ref="H13:I18" totalsRowShown="0" headerRowDxfId="3">
  <autoFilter ref="H13:I18" xr:uid="{FF858319-97AB-45AC-9F20-5F24E39E2826}"/>
  <tableColumns count="2">
    <tableColumn id="1" xr3:uid="{30538FD4-04EA-4BB7-8F79-D4D436736BC9}" name="Sales ($)"/>
    <tableColumn id="2" xr3:uid="{CFE16304-6E2D-46B1-9CB2-968A22D7EC81}" name="Tax Amount ($)" dataDxfId="2">
      <calculatedColumnFormula>ROUND(fSalesTest016910[[#This Row],[Sales ($)]]*$I$11,2)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976" row="8">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42E7673-7974-4B70-8AF2-2F4F41A4EDAD}">
  <we:reference id="81ae7f57-2760-4043-a9cb-e0d36209e808" version="1.3.0.0" store="EXCatalog" storeType="EXCatalog"/>
  <we:alternateReferences>
    <we:reference id="WA200003696" version="1.3.0.0" store="en-US" storeType="OMEX"/>
  </we:alternateReferences>
  <we:properties>
    <we:property name="projectV0_1-56c6e055-265e-4713-816e-a646dbb708de" value="{&quot;kind&quot;:&quot;AFEJSONBlobNode&quot;,&quot;id&quot;:&quot;{E6394345-1357-46EF-A228-4DBB5B2EE886}&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1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5DC69-CB9E-417D-AF6A-4EDD49848988}">
  <sheetPr>
    <tabColor rgb="FFFFFF00"/>
  </sheetPr>
  <dimension ref="B1:C20"/>
  <sheetViews>
    <sheetView zoomScale="130" zoomScaleNormal="130" workbookViewId="0">
      <selection activeCell="Q6" sqref="Q6"/>
    </sheetView>
  </sheetViews>
  <sheetFormatPr defaultRowHeight="15" x14ac:dyDescent="0.25"/>
  <cols>
    <col min="1" max="1" width="3.28515625" customWidth="1"/>
    <col min="2" max="2" width="5.28515625" customWidth="1"/>
    <col min="3" max="3" width="85.5703125" customWidth="1"/>
  </cols>
  <sheetData>
    <row r="1" spans="2:3" ht="4.1500000000000004" customHeight="1" x14ac:dyDescent="0.25"/>
    <row r="2" spans="2:3" ht="18.75" x14ac:dyDescent="0.3">
      <c r="B2" s="190" t="s">
        <v>503</v>
      </c>
      <c r="C2" s="190"/>
    </row>
    <row r="3" spans="2:3" ht="15.75" x14ac:dyDescent="0.25">
      <c r="B3" s="124" t="s">
        <v>295</v>
      </c>
      <c r="C3" s="54"/>
    </row>
    <row r="4" spans="2:3" x14ac:dyDescent="0.25">
      <c r="B4" s="12" t="s">
        <v>22</v>
      </c>
      <c r="C4" s="23" t="s">
        <v>518</v>
      </c>
    </row>
    <row r="5" spans="2:3" x14ac:dyDescent="0.25">
      <c r="B5" s="12" t="s">
        <v>24</v>
      </c>
      <c r="C5" s="23" t="s">
        <v>504</v>
      </c>
    </row>
    <row r="6" spans="2:3" x14ac:dyDescent="0.25">
      <c r="B6" s="12" t="s">
        <v>29</v>
      </c>
      <c r="C6" s="23" t="s">
        <v>505</v>
      </c>
    </row>
    <row r="7" spans="2:3" x14ac:dyDescent="0.25">
      <c r="B7" s="12" t="s">
        <v>31</v>
      </c>
      <c r="C7" s="23" t="s">
        <v>506</v>
      </c>
    </row>
    <row r="8" spans="2:3" x14ac:dyDescent="0.25">
      <c r="B8" s="12" t="s">
        <v>32</v>
      </c>
      <c r="C8" s="23" t="s">
        <v>507</v>
      </c>
    </row>
    <row r="9" spans="2:3" x14ac:dyDescent="0.25">
      <c r="B9" s="12" t="s">
        <v>33</v>
      </c>
      <c r="C9" s="23" t="s">
        <v>508</v>
      </c>
    </row>
    <row r="10" spans="2:3" x14ac:dyDescent="0.25">
      <c r="B10" s="12" t="s">
        <v>48</v>
      </c>
      <c r="C10" s="23" t="s">
        <v>1</v>
      </c>
    </row>
    <row r="11" spans="2:3" x14ac:dyDescent="0.25">
      <c r="B11" s="12" t="s">
        <v>49</v>
      </c>
      <c r="C11" s="23" t="s">
        <v>509</v>
      </c>
    </row>
    <row r="12" spans="2:3" x14ac:dyDescent="0.25">
      <c r="B12" s="12" t="s">
        <v>170</v>
      </c>
      <c r="C12" s="23" t="s">
        <v>0</v>
      </c>
    </row>
    <row r="13" spans="2:3" x14ac:dyDescent="0.25">
      <c r="B13" s="12" t="s">
        <v>171</v>
      </c>
      <c r="C13" s="23" t="s">
        <v>510</v>
      </c>
    </row>
    <row r="14" spans="2:3" x14ac:dyDescent="0.25">
      <c r="B14" s="12" t="s">
        <v>199</v>
      </c>
      <c r="C14" s="23" t="s">
        <v>500</v>
      </c>
    </row>
    <row r="15" spans="2:3" x14ac:dyDescent="0.25">
      <c r="B15" s="12" t="s">
        <v>200</v>
      </c>
      <c r="C15" s="23" t="s">
        <v>501</v>
      </c>
    </row>
    <row r="16" spans="2:3" x14ac:dyDescent="0.25">
      <c r="B16" s="12" t="s">
        <v>211</v>
      </c>
      <c r="C16" s="23" t="s">
        <v>502</v>
      </c>
    </row>
    <row r="17" spans="2:3" x14ac:dyDescent="0.25">
      <c r="B17" s="12" t="s">
        <v>213</v>
      </c>
      <c r="C17" s="23" t="s">
        <v>511</v>
      </c>
    </row>
    <row r="18" spans="2:3" x14ac:dyDescent="0.25">
      <c r="B18" s="12" t="s">
        <v>214</v>
      </c>
      <c r="C18" s="23" t="s">
        <v>512</v>
      </c>
    </row>
    <row r="19" spans="2:3" x14ac:dyDescent="0.25">
      <c r="B19" s="12" t="s">
        <v>215</v>
      </c>
      <c r="C19" s="23" t="s">
        <v>513</v>
      </c>
    </row>
    <row r="20" spans="2:3" x14ac:dyDescent="0.25">
      <c r="B20" s="12" t="s">
        <v>217</v>
      </c>
      <c r="C20" s="23" t="s">
        <v>514</v>
      </c>
    </row>
  </sheetData>
  <mergeCells count="1">
    <mergeCell ref="B2:C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AC20D-B84B-45A7-ABC9-37B6A275918B}">
  <sheetPr>
    <tabColor rgb="FFFFFF00"/>
  </sheetPr>
  <dimension ref="B2:B13"/>
  <sheetViews>
    <sheetView zoomScale="175" zoomScaleNormal="175" workbookViewId="0">
      <selection activeCell="Q6" sqref="Q6"/>
    </sheetView>
  </sheetViews>
  <sheetFormatPr defaultRowHeight="15" x14ac:dyDescent="0.25"/>
  <cols>
    <col min="1" max="1" width="2.5703125" customWidth="1"/>
  </cols>
  <sheetData>
    <row r="2" spans="2:2" x14ac:dyDescent="0.25">
      <c r="B2" s="1" t="s">
        <v>519</v>
      </c>
    </row>
    <row r="3" spans="2:2" x14ac:dyDescent="0.25">
      <c r="B3" s="16" t="s">
        <v>3</v>
      </c>
    </row>
    <row r="5" spans="2:2" x14ac:dyDescent="0.25">
      <c r="B5" s="1" t="s">
        <v>515</v>
      </c>
    </row>
    <row r="6" spans="2:2" x14ac:dyDescent="0.25">
      <c r="B6" s="16" t="s">
        <v>516</v>
      </c>
    </row>
    <row r="7" spans="2:2" x14ac:dyDescent="0.25">
      <c r="B7" s="16" t="s">
        <v>517</v>
      </c>
    </row>
    <row r="9" spans="2:2" x14ac:dyDescent="0.25">
      <c r="B9" s="1" t="s">
        <v>520</v>
      </c>
    </row>
    <row r="10" spans="2:2" x14ac:dyDescent="0.25">
      <c r="B10" s="125" t="s">
        <v>521</v>
      </c>
    </row>
    <row r="11" spans="2:2" x14ac:dyDescent="0.25">
      <c r="B11" s="126" t="s">
        <v>522</v>
      </c>
    </row>
    <row r="12" spans="2:2" x14ac:dyDescent="0.25">
      <c r="B12" s="126" t="s">
        <v>523</v>
      </c>
    </row>
    <row r="13" spans="2:2" x14ac:dyDescent="0.25">
      <c r="B13" s="126" t="s">
        <v>524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8B9DB-F349-410A-BD6E-1BBAF7B2E586}">
  <sheetPr>
    <tabColor rgb="FF0000FF"/>
  </sheetPr>
  <dimension ref="B1:I34"/>
  <sheetViews>
    <sheetView topLeftCell="A6" zoomScale="115" zoomScaleNormal="115" workbookViewId="0">
      <selection activeCell="B25" sqref="B25"/>
    </sheetView>
  </sheetViews>
  <sheetFormatPr defaultRowHeight="15" x14ac:dyDescent="0.25"/>
  <cols>
    <col min="1" max="1" width="2.5703125" customWidth="1"/>
    <col min="2" max="2" width="33.7109375" customWidth="1"/>
    <col min="3" max="3" width="13.28515625" customWidth="1"/>
    <col min="4" max="4" width="0.7109375" customWidth="1"/>
    <col min="5" max="5" width="13.140625" customWidth="1"/>
    <col min="6" max="6" width="7.7109375" customWidth="1"/>
    <col min="7" max="7" width="14" customWidth="1"/>
    <col min="8" max="8" width="0.7109375" customWidth="1"/>
    <col min="9" max="9" width="14" customWidth="1"/>
  </cols>
  <sheetData>
    <row r="1" spans="2:9" ht="3.6" customHeight="1" x14ac:dyDescent="0.25"/>
    <row r="2" spans="2:9" x14ac:dyDescent="0.25">
      <c r="B2" s="1" t="s">
        <v>261</v>
      </c>
    </row>
    <row r="3" spans="2:9" x14ac:dyDescent="0.25">
      <c r="B3" s="12" t="s">
        <v>25</v>
      </c>
      <c r="C3" s="12">
        <v>93</v>
      </c>
    </row>
    <row r="4" spans="2:9" x14ac:dyDescent="0.25">
      <c r="B4" s="12" t="s">
        <v>26</v>
      </c>
      <c r="C4" s="12" t="s">
        <v>273</v>
      </c>
    </row>
    <row r="5" spans="2:9" x14ac:dyDescent="0.25">
      <c r="B5" s="12" t="s">
        <v>27</v>
      </c>
      <c r="C5" s="12" t="b">
        <v>1</v>
      </c>
    </row>
    <row r="6" spans="2:9" ht="15.75" thickBot="1" x14ac:dyDescent="0.3"/>
    <row r="7" spans="2:9" x14ac:dyDescent="0.25">
      <c r="B7" s="46" t="str">
        <f>"Can you name all data types in the range "&amp;ADDRESS(ROW(B8),COLUMN(B8),4)&amp;":"&amp;ADDRESS(ROW(I14),COLUMN(I14),4)&amp;"?"</f>
        <v>Can you name all data types in the range B8:I14?</v>
      </c>
      <c r="C7" s="48"/>
      <c r="D7" s="48"/>
      <c r="E7" s="48"/>
      <c r="F7" s="48"/>
      <c r="G7" s="48"/>
      <c r="H7" s="48"/>
      <c r="I7" s="49"/>
    </row>
    <row r="8" spans="2:9" ht="45" x14ac:dyDescent="0.25">
      <c r="B8" s="50"/>
      <c r="G8" s="60" t="s">
        <v>260</v>
      </c>
      <c r="I8" s="51"/>
    </row>
    <row r="9" spans="2:9" x14ac:dyDescent="0.25">
      <c r="B9" s="50"/>
      <c r="G9" s="24" t="s">
        <v>262</v>
      </c>
      <c r="I9" s="51"/>
    </row>
    <row r="10" spans="2:9" x14ac:dyDescent="0.25">
      <c r="B10" s="50"/>
      <c r="G10" s="24" t="s">
        <v>263</v>
      </c>
      <c r="I10" s="51"/>
    </row>
    <row r="11" spans="2:9" x14ac:dyDescent="0.25">
      <c r="B11" s="168" t="s">
        <v>256</v>
      </c>
      <c r="C11" s="55">
        <v>500</v>
      </c>
      <c r="G11" s="24" t="s">
        <v>264</v>
      </c>
      <c r="I11" s="51"/>
    </row>
    <row r="12" spans="2:9" x14ac:dyDescent="0.25">
      <c r="B12" s="168" t="s">
        <v>259</v>
      </c>
      <c r="C12" s="55">
        <v>85000</v>
      </c>
      <c r="G12" s="24" t="s">
        <v>265</v>
      </c>
      <c r="I12" s="51"/>
    </row>
    <row r="13" spans="2:9" x14ac:dyDescent="0.25">
      <c r="B13" s="168" t="s">
        <v>257</v>
      </c>
      <c r="C13" s="55">
        <v>78500</v>
      </c>
      <c r="G13" s="24" t="s">
        <v>266</v>
      </c>
      <c r="I13" s="51"/>
    </row>
    <row r="14" spans="2:9" ht="15.75" thickBot="1" x14ac:dyDescent="0.3">
      <c r="B14" s="169" t="s">
        <v>258</v>
      </c>
      <c r="C14" s="170" t="b">
        <f>C13&gt;=C12</f>
        <v>0</v>
      </c>
      <c r="D14" s="83"/>
      <c r="E14" s="83" t="str">
        <f ca="1">_xlfn.IFNA(_xlfn.FORMULATEXT(C14),"")</f>
        <v>=C13&gt;=C12</v>
      </c>
      <c r="F14" s="171" t="s">
        <v>174</v>
      </c>
      <c r="G14" s="170">
        <f>SUM(G9:G13)</f>
        <v>0</v>
      </c>
      <c r="H14" s="83"/>
      <c r="I14" s="84" t="str">
        <f ca="1">_xlfn.IFNA(_xlfn.FORMULATEXT(G14),"")</f>
        <v>=SUM(G9:G13)</v>
      </c>
    </row>
    <row r="15" spans="2:9" ht="15.75" thickBot="1" x14ac:dyDescent="0.3"/>
    <row r="16" spans="2:9" x14ac:dyDescent="0.25">
      <c r="B16" s="172" t="s">
        <v>298</v>
      </c>
      <c r="C16" s="48"/>
      <c r="D16" s="48"/>
      <c r="E16" s="48"/>
      <c r="F16" s="48"/>
      <c r="G16" s="173" t="s">
        <v>273</v>
      </c>
      <c r="H16" s="48"/>
      <c r="I16" s="49"/>
    </row>
    <row r="17" spans="2:9" x14ac:dyDescent="0.25">
      <c r="B17" s="50"/>
      <c r="G17" s="65" t="s">
        <v>273</v>
      </c>
      <c r="I17" s="51"/>
    </row>
    <row r="18" spans="2:9" x14ac:dyDescent="0.25">
      <c r="B18" s="50"/>
      <c r="G18" s="65" t="s">
        <v>273</v>
      </c>
      <c r="I18" s="51"/>
    </row>
    <row r="19" spans="2:9" x14ac:dyDescent="0.25">
      <c r="B19" s="174" t="s">
        <v>273</v>
      </c>
      <c r="C19" s="55" t="s">
        <v>297</v>
      </c>
      <c r="G19" s="65" t="s">
        <v>273</v>
      </c>
      <c r="I19" s="51"/>
    </row>
    <row r="20" spans="2:9" x14ac:dyDescent="0.25">
      <c r="B20" s="174" t="s">
        <v>273</v>
      </c>
      <c r="C20" s="55" t="s">
        <v>297</v>
      </c>
      <c r="G20" s="65" t="s">
        <v>273</v>
      </c>
      <c r="I20" s="51"/>
    </row>
    <row r="21" spans="2:9" x14ac:dyDescent="0.25">
      <c r="B21" s="174" t="s">
        <v>273</v>
      </c>
      <c r="C21" s="55" t="s">
        <v>297</v>
      </c>
      <c r="G21" s="65" t="s">
        <v>273</v>
      </c>
      <c r="I21" s="51"/>
    </row>
    <row r="22" spans="2:9" ht="15.75" thickBot="1" x14ac:dyDescent="0.3">
      <c r="B22" s="175" t="s">
        <v>273</v>
      </c>
      <c r="C22" s="170" t="s">
        <v>296</v>
      </c>
      <c r="D22" s="83"/>
      <c r="E22" s="176" t="s">
        <v>273</v>
      </c>
      <c r="F22" s="171" t="s">
        <v>273</v>
      </c>
      <c r="G22" s="170" t="s">
        <v>297</v>
      </c>
      <c r="H22" s="83"/>
      <c r="I22" s="177" t="s">
        <v>273</v>
      </c>
    </row>
    <row r="24" spans="2:9" x14ac:dyDescent="0.25">
      <c r="B24" s="1" t="s">
        <v>821</v>
      </c>
    </row>
    <row r="25" spans="2:9" ht="4.9000000000000004" customHeight="1" x14ac:dyDescent="0.25"/>
    <row r="26" spans="2:9" x14ac:dyDescent="0.25">
      <c r="B26" s="60" t="s">
        <v>304</v>
      </c>
      <c r="C26" s="60" t="s">
        <v>303</v>
      </c>
    </row>
    <row r="27" spans="2:9" x14ac:dyDescent="0.25">
      <c r="B27" s="12" t="s">
        <v>299</v>
      </c>
      <c r="C27" s="66" t="s">
        <v>300</v>
      </c>
    </row>
    <row r="28" spans="2:9" x14ac:dyDescent="0.25">
      <c r="B28" s="12" t="s">
        <v>39</v>
      </c>
      <c r="C28" s="12" t="s">
        <v>301</v>
      </c>
    </row>
    <row r="29" spans="2:9" x14ac:dyDescent="0.25">
      <c r="B29" s="12" t="s">
        <v>296</v>
      </c>
      <c r="C29" s="12" t="s">
        <v>302</v>
      </c>
    </row>
    <row r="30" spans="2:9" ht="4.9000000000000004" customHeight="1" x14ac:dyDescent="0.25"/>
    <row r="31" spans="2:9" ht="30" x14ac:dyDescent="0.25">
      <c r="B31" s="60" t="s">
        <v>304</v>
      </c>
      <c r="C31" s="60" t="s">
        <v>305</v>
      </c>
    </row>
    <row r="32" spans="2:9" x14ac:dyDescent="0.25">
      <c r="B32" s="12" t="s">
        <v>299</v>
      </c>
      <c r="C32" s="66">
        <v>45322</v>
      </c>
    </row>
    <row r="33" spans="2:3" x14ac:dyDescent="0.25">
      <c r="B33" s="12" t="s">
        <v>39</v>
      </c>
      <c r="C33" s="12">
        <v>43.69</v>
      </c>
    </row>
    <row r="34" spans="2:3" x14ac:dyDescent="0.25">
      <c r="B34" s="12" t="s">
        <v>296</v>
      </c>
      <c r="C34" s="12" t="b">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B314A-A4C1-4235-BC3D-082BAF3AB6DB}">
  <sheetPr>
    <tabColor rgb="FF0000FF"/>
  </sheetPr>
  <dimension ref="B2:G18"/>
  <sheetViews>
    <sheetView zoomScale="115" zoomScaleNormal="115" workbookViewId="0">
      <selection activeCell="C14" sqref="C14"/>
    </sheetView>
  </sheetViews>
  <sheetFormatPr defaultRowHeight="15" x14ac:dyDescent="0.25"/>
  <cols>
    <col min="1" max="1" width="3" customWidth="1"/>
    <col min="2" max="2" width="17.42578125" customWidth="1"/>
    <col min="4" max="4" width="2.7109375" customWidth="1"/>
    <col min="7" max="7" width="30.28515625" customWidth="1"/>
  </cols>
  <sheetData>
    <row r="2" spans="2:7" x14ac:dyDescent="0.25">
      <c r="B2" s="56" t="s">
        <v>267</v>
      </c>
    </row>
    <row r="3" spans="2:7" x14ac:dyDescent="0.25">
      <c r="B3" s="57">
        <v>43.9</v>
      </c>
    </row>
    <row r="4" spans="2:7" x14ac:dyDescent="0.25">
      <c r="B4" s="12">
        <v>43.9</v>
      </c>
    </row>
    <row r="5" spans="2:7" x14ac:dyDescent="0.25">
      <c r="B5" s="58">
        <v>43.9</v>
      </c>
    </row>
    <row r="7" spans="2:7" x14ac:dyDescent="0.25">
      <c r="B7" s="56" t="s">
        <v>268</v>
      </c>
      <c r="C7" s="12">
        <v>2</v>
      </c>
    </row>
    <row r="8" spans="2:7" x14ac:dyDescent="0.25">
      <c r="B8" s="56" t="str">
        <f>C7&amp;"*"&amp;ROUND(B3,0)&amp;" ="</f>
        <v>2*44 =</v>
      </c>
      <c r="C8" s="2">
        <f>B3*C7</f>
        <v>87.8</v>
      </c>
      <c r="E8" t="str">
        <f ca="1">_xlfn.IFNA(_xlfn.FORMULATEXT(C8),"")</f>
        <v>=B3*C7</v>
      </c>
    </row>
    <row r="10" spans="2:7" ht="30" customHeight="1" x14ac:dyDescent="0.25">
      <c r="B10" s="191" t="str">
        <f>"Number format makes the number "&amp;B3&amp;" in cell "&amp;ADDRESS(ROW(B3),COLUMN(B3),4)&amp;" display as "&amp;ROUND(B3,0)&amp;", but the underlying number of "&amp;B3&amp;" is the number that the formula uses to make the calculation."</f>
        <v>Number format makes the number 43.9 in cell B3 display as 44, but the underlying number of 43.9 is the number that the formula uses to make the calculation.</v>
      </c>
      <c r="C10" s="192"/>
      <c r="D10" s="192"/>
      <c r="E10" s="192"/>
      <c r="F10" s="192"/>
      <c r="G10" s="193"/>
    </row>
    <row r="11" spans="2:7" x14ac:dyDescent="0.25">
      <c r="B11" s="67" t="s">
        <v>270</v>
      </c>
      <c r="C11" s="68"/>
      <c r="D11" s="68"/>
      <c r="E11" s="68"/>
      <c r="F11" s="68"/>
      <c r="G11" s="69"/>
    </row>
    <row r="13" spans="2:7" x14ac:dyDescent="0.25">
      <c r="B13" s="56" t="s">
        <v>39</v>
      </c>
      <c r="C13" s="55">
        <v>1000</v>
      </c>
    </row>
    <row r="14" spans="2:7" x14ac:dyDescent="0.25">
      <c r="B14" s="56" t="s">
        <v>269</v>
      </c>
      <c r="C14" s="178">
        <v>5.5E-2</v>
      </c>
    </row>
    <row r="15" spans="2:7" ht="45" x14ac:dyDescent="0.25">
      <c r="B15" s="59" t="s">
        <v>329</v>
      </c>
      <c r="C15" s="2">
        <f>C14*C13</f>
        <v>55</v>
      </c>
      <c r="E15" t="str">
        <f ca="1">_xlfn.IFNA(_xlfn.FORMULATEXT(C15),"")</f>
        <v>=C14*C13</v>
      </c>
    </row>
    <row r="17" spans="2:7" ht="30" customHeight="1" x14ac:dyDescent="0.25">
      <c r="B17" s="191" t="str">
        <f>"Number format makes the number "&amp;C14&amp;" in cell "&amp;ADDRESS(ROW(C14),COLUMN(C14),4)&amp;" display as "&amp;TEXT(C14,"0%")&amp;", but the underlying number of "&amp;C14&amp;" is the number that the formula uses to make the calculation."</f>
        <v>Number format makes the number 0.055 in cell C14 display as 6%, but the underlying number of 0.055 is the number that the formula uses to make the calculation.</v>
      </c>
      <c r="C17" s="192"/>
      <c r="D17" s="192"/>
      <c r="E17" s="192"/>
      <c r="F17" s="192"/>
      <c r="G17" s="193"/>
    </row>
    <row r="18" spans="2:7" x14ac:dyDescent="0.25">
      <c r="B18" s="67" t="s">
        <v>270</v>
      </c>
      <c r="C18" s="68"/>
      <c r="D18" s="68"/>
      <c r="E18" s="68"/>
      <c r="F18" s="68"/>
      <c r="G18" s="69"/>
    </row>
  </sheetData>
  <mergeCells count="2">
    <mergeCell ref="B10:G10"/>
    <mergeCell ref="B17:G1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5F5A6-649C-4813-B2AB-012AACC43E33}">
  <sheetPr>
    <tabColor rgb="FF0000FF"/>
  </sheetPr>
  <dimension ref="B1:G27"/>
  <sheetViews>
    <sheetView zoomScaleNormal="100" workbookViewId="0">
      <selection activeCell="D22" sqref="D22"/>
    </sheetView>
  </sheetViews>
  <sheetFormatPr defaultRowHeight="15" x14ac:dyDescent="0.25"/>
  <cols>
    <col min="1" max="1" width="1.28515625" customWidth="1"/>
    <col min="2" max="2" width="28.7109375" customWidth="1"/>
    <col min="3" max="3" width="13.7109375" customWidth="1"/>
    <col min="4" max="4" width="15.28515625" customWidth="1"/>
    <col min="5" max="5" width="2.5703125" customWidth="1"/>
    <col min="6" max="6" width="46.42578125" bestFit="1" customWidth="1"/>
    <col min="7" max="7" width="10.5703125" customWidth="1"/>
  </cols>
  <sheetData>
    <row r="1" spans="2:7" ht="6.6" customHeight="1" x14ac:dyDescent="0.25"/>
    <row r="2" spans="2:7" x14ac:dyDescent="0.25">
      <c r="B2" s="1" t="s">
        <v>534</v>
      </c>
    </row>
    <row r="3" spans="2:7" x14ac:dyDescent="0.25">
      <c r="B3" t="s">
        <v>533</v>
      </c>
    </row>
    <row r="5" spans="2:7" x14ac:dyDescent="0.25">
      <c r="B5" s="1" t="s">
        <v>37</v>
      </c>
      <c r="F5" s="1" t="s">
        <v>41</v>
      </c>
    </row>
    <row r="6" spans="2:7" x14ac:dyDescent="0.25">
      <c r="B6" s="179" t="s">
        <v>36</v>
      </c>
      <c r="C6" s="12">
        <v>7.6499999999999999E-2</v>
      </c>
      <c r="F6" s="179" t="s">
        <v>45</v>
      </c>
      <c r="G6" s="12">
        <v>24</v>
      </c>
    </row>
    <row r="7" spans="2:7" x14ac:dyDescent="0.25">
      <c r="B7" s="179" t="s">
        <v>38</v>
      </c>
      <c r="C7" s="12" t="s">
        <v>40</v>
      </c>
      <c r="F7" s="179" t="s">
        <v>46</v>
      </c>
      <c r="G7" s="12">
        <v>12</v>
      </c>
    </row>
    <row r="8" spans="2:7" x14ac:dyDescent="0.25">
      <c r="B8" s="179" t="s">
        <v>39</v>
      </c>
      <c r="C8" s="12">
        <v>500.35</v>
      </c>
      <c r="F8" s="179" t="s">
        <v>47</v>
      </c>
      <c r="G8" s="12">
        <v>1</v>
      </c>
    </row>
    <row r="10" spans="2:7" x14ac:dyDescent="0.25">
      <c r="B10" t="s">
        <v>330</v>
      </c>
    </row>
    <row r="12" spans="2:7" x14ac:dyDescent="0.25">
      <c r="B12" s="179" t="s">
        <v>822</v>
      </c>
      <c r="C12" s="12">
        <v>100</v>
      </c>
    </row>
    <row r="13" spans="2:7" x14ac:dyDescent="0.25">
      <c r="B13" s="179" t="s">
        <v>36</v>
      </c>
      <c r="C13" s="180">
        <v>0.05</v>
      </c>
    </row>
    <row r="14" spans="2:7" x14ac:dyDescent="0.25">
      <c r="B14" s="179" t="s">
        <v>823</v>
      </c>
      <c r="C14" s="2">
        <f>C12*C13</f>
        <v>5</v>
      </c>
      <c r="D14" t="str">
        <f ca="1">_xlfn.IFNA(_xlfn.FORMULATEXT(C14),"")</f>
        <v>=C12*C13</v>
      </c>
    </row>
    <row r="16" spans="2:7" x14ac:dyDescent="0.25">
      <c r="B16" s="1" t="s">
        <v>535</v>
      </c>
    </row>
    <row r="17" spans="2:6" x14ac:dyDescent="0.25">
      <c r="B17" s="136" t="s">
        <v>539</v>
      </c>
    </row>
    <row r="19" spans="2:6" ht="21" customHeight="1" x14ac:dyDescent="0.25">
      <c r="B19" s="179" t="s">
        <v>824</v>
      </c>
      <c r="C19" s="72">
        <v>230000</v>
      </c>
    </row>
    <row r="20" spans="2:6" ht="32.25" customHeight="1" x14ac:dyDescent="0.25">
      <c r="B20" s="181" t="s">
        <v>825</v>
      </c>
      <c r="C20" s="180">
        <v>0.15</v>
      </c>
    </row>
    <row r="21" spans="2:6" ht="19.5" customHeight="1" x14ac:dyDescent="0.25">
      <c r="B21" s="179" t="s">
        <v>826</v>
      </c>
      <c r="C21" s="73">
        <f>C19/(1+C20)</f>
        <v>200000.00000000003</v>
      </c>
      <c r="D21" t="str">
        <f ca="1">_xlfn.IFNA(_xlfn.FORMULATEXT(C21),"")</f>
        <v>=C19/(1+C20)</v>
      </c>
      <c r="F21" t="s">
        <v>542</v>
      </c>
    </row>
    <row r="22" spans="2:6" x14ac:dyDescent="0.25">
      <c r="B22" s="179" t="s">
        <v>827</v>
      </c>
      <c r="C22" s="2">
        <f>C21*(1+C20)</f>
        <v>230000.00000000003</v>
      </c>
      <c r="D22" t="str">
        <f ca="1">_xlfn.IFNA(_xlfn.FORMULATEXT(C22),"")</f>
        <v>=C21*(1+C20)</v>
      </c>
    </row>
    <row r="23" spans="2:6" x14ac:dyDescent="0.25">
      <c r="F23" t="s">
        <v>543</v>
      </c>
    </row>
    <row r="25" spans="2:6" x14ac:dyDescent="0.25">
      <c r="F25" t="s">
        <v>544</v>
      </c>
    </row>
    <row r="27" spans="2:6" x14ac:dyDescent="0.25">
      <c r="F27" t="s">
        <v>541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376781-E720-4611-910A-1F8CD1F3242A}">
  <sheetPr>
    <tabColor rgb="FFFFFF00"/>
    <pageSetUpPr fitToPage="1"/>
  </sheetPr>
  <dimension ref="B2:D35"/>
  <sheetViews>
    <sheetView topLeftCell="A27" zoomScale="150" zoomScaleNormal="150" workbookViewId="0"/>
  </sheetViews>
  <sheetFormatPr defaultRowHeight="15" x14ac:dyDescent="0.25"/>
  <cols>
    <col min="1" max="1" width="4.28515625" customWidth="1"/>
    <col min="2" max="2" width="19.5703125" customWidth="1"/>
    <col min="3" max="3" width="40" customWidth="1"/>
    <col min="4" max="4" width="49.85546875" customWidth="1"/>
    <col min="6" max="6" width="20.28515625" bestFit="1" customWidth="1"/>
    <col min="9" max="9" width="24.28515625" bestFit="1" customWidth="1"/>
    <col min="10" max="10" width="21.140625" bestFit="1" customWidth="1"/>
  </cols>
  <sheetData>
    <row r="2" spans="2:4" x14ac:dyDescent="0.25">
      <c r="B2" s="22" t="s">
        <v>78</v>
      </c>
      <c r="C2" s="22" t="s">
        <v>79</v>
      </c>
      <c r="D2" s="22" t="s">
        <v>80</v>
      </c>
    </row>
    <row r="3" spans="2:4" ht="30.75" x14ac:dyDescent="0.3">
      <c r="B3" s="23" t="s">
        <v>81</v>
      </c>
      <c r="C3" s="23" t="s">
        <v>82</v>
      </c>
      <c r="D3" s="24" t="s">
        <v>83</v>
      </c>
    </row>
    <row r="4" spans="2:4" ht="45" x14ac:dyDescent="0.25">
      <c r="B4" s="23" t="s">
        <v>0</v>
      </c>
      <c r="C4" s="23" t="s">
        <v>84</v>
      </c>
      <c r="D4" s="12" t="s">
        <v>85</v>
      </c>
    </row>
    <row r="5" spans="2:4" ht="45" x14ac:dyDescent="0.25">
      <c r="B5" s="23" t="s">
        <v>86</v>
      </c>
      <c r="C5" s="23" t="s">
        <v>87</v>
      </c>
      <c r="D5" s="12" t="s">
        <v>88</v>
      </c>
    </row>
    <row r="6" spans="2:4" ht="48.75" customHeight="1" x14ac:dyDescent="0.35">
      <c r="B6" s="23" t="s">
        <v>89</v>
      </c>
      <c r="C6" s="23" t="s">
        <v>90</v>
      </c>
      <c r="D6" s="23" t="s">
        <v>91</v>
      </c>
    </row>
    <row r="7" spans="2:4" ht="61.5" customHeight="1" x14ac:dyDescent="0.35">
      <c r="B7" s="23" t="s">
        <v>92</v>
      </c>
      <c r="C7" s="23" t="s">
        <v>93</v>
      </c>
      <c r="D7" s="12" t="s">
        <v>545</v>
      </c>
    </row>
    <row r="8" spans="2:4" ht="30" x14ac:dyDescent="0.25">
      <c r="B8" s="23" t="s">
        <v>94</v>
      </c>
      <c r="C8" s="23" t="s">
        <v>95</v>
      </c>
      <c r="D8" s="12" t="s">
        <v>96</v>
      </c>
    </row>
    <row r="9" spans="2:4" ht="45.75" x14ac:dyDescent="0.3">
      <c r="B9" s="23" t="s">
        <v>55</v>
      </c>
      <c r="C9" s="23" t="s">
        <v>97</v>
      </c>
      <c r="D9" s="23" t="s">
        <v>98</v>
      </c>
    </row>
    <row r="10" spans="2:4" ht="75.75" x14ac:dyDescent="0.3">
      <c r="B10" s="23" t="s">
        <v>17</v>
      </c>
      <c r="C10" s="23" t="s">
        <v>99</v>
      </c>
      <c r="D10" s="23" t="s">
        <v>100</v>
      </c>
    </row>
    <row r="11" spans="2:4" ht="45" x14ac:dyDescent="0.25">
      <c r="B11" s="23" t="s">
        <v>101</v>
      </c>
      <c r="C11" s="23" t="s">
        <v>102</v>
      </c>
      <c r="D11" s="23" t="s">
        <v>103</v>
      </c>
    </row>
    <row r="12" spans="2:4" ht="60" x14ac:dyDescent="0.25">
      <c r="B12" s="23" t="s">
        <v>104</v>
      </c>
      <c r="C12" s="23" t="s">
        <v>105</v>
      </c>
      <c r="D12" s="12" t="s">
        <v>106</v>
      </c>
    </row>
    <row r="13" spans="2:4" ht="90" x14ac:dyDescent="0.25">
      <c r="B13" s="23" t="s">
        <v>107</v>
      </c>
      <c r="C13" s="23" t="s">
        <v>108</v>
      </c>
      <c r="D13" s="25" t="s">
        <v>109</v>
      </c>
    </row>
    <row r="14" spans="2:4" ht="105" x14ac:dyDescent="0.25">
      <c r="B14" s="23" t="s">
        <v>110</v>
      </c>
      <c r="C14" s="23" t="s">
        <v>111</v>
      </c>
      <c r="D14" s="26" t="s">
        <v>306</v>
      </c>
    </row>
    <row r="16" spans="2:4" x14ac:dyDescent="0.25">
      <c r="B16" s="22" t="s">
        <v>78</v>
      </c>
      <c r="C16" s="22" t="s">
        <v>79</v>
      </c>
      <c r="D16" s="22" t="s">
        <v>80</v>
      </c>
    </row>
    <row r="17" spans="2:4" x14ac:dyDescent="0.25">
      <c r="B17" s="194" t="s">
        <v>112</v>
      </c>
      <c r="C17" s="23" t="s">
        <v>113</v>
      </c>
      <c r="D17" s="12" t="s">
        <v>114</v>
      </c>
    </row>
    <row r="18" spans="2:4" x14ac:dyDescent="0.25">
      <c r="B18" s="194"/>
      <c r="C18" s="23" t="s">
        <v>115</v>
      </c>
      <c r="D18" s="12" t="s">
        <v>116</v>
      </c>
    </row>
    <row r="19" spans="2:4" x14ac:dyDescent="0.25">
      <c r="B19" s="194"/>
      <c r="C19" s="23" t="s">
        <v>117</v>
      </c>
      <c r="D19" s="12" t="s">
        <v>118</v>
      </c>
    </row>
    <row r="20" spans="2:4" x14ac:dyDescent="0.25">
      <c r="B20" s="194"/>
      <c r="C20" s="23" t="s">
        <v>119</v>
      </c>
      <c r="D20" s="12" t="s">
        <v>120</v>
      </c>
    </row>
    <row r="21" spans="2:4" x14ac:dyDescent="0.25">
      <c r="B21" s="194"/>
      <c r="C21" s="23" t="s">
        <v>121</v>
      </c>
      <c r="D21" s="12" t="s">
        <v>122</v>
      </c>
    </row>
    <row r="22" spans="2:4" x14ac:dyDescent="0.25">
      <c r="B22" s="194"/>
      <c r="C22" s="23" t="s">
        <v>123</v>
      </c>
      <c r="D22" s="12" t="s">
        <v>124</v>
      </c>
    </row>
    <row r="23" spans="2:4" ht="30" x14ac:dyDescent="0.25">
      <c r="B23" s="194"/>
      <c r="C23" s="23" t="s">
        <v>125</v>
      </c>
      <c r="D23" s="12" t="s">
        <v>126</v>
      </c>
    </row>
    <row r="24" spans="2:4" ht="75" x14ac:dyDescent="0.25">
      <c r="B24" s="23" t="s">
        <v>127</v>
      </c>
      <c r="C24" s="23" t="s">
        <v>128</v>
      </c>
      <c r="D24" s="23" t="s">
        <v>129</v>
      </c>
    </row>
    <row r="25" spans="2:4" ht="77.25" customHeight="1" x14ac:dyDescent="0.3">
      <c r="B25" s="23" t="s">
        <v>130</v>
      </c>
      <c r="C25" s="23" t="s">
        <v>131</v>
      </c>
      <c r="D25" s="12" t="s">
        <v>132</v>
      </c>
    </row>
    <row r="26" spans="2:4" ht="90" x14ac:dyDescent="0.25">
      <c r="B26" s="23" t="s">
        <v>133</v>
      </c>
      <c r="C26" s="23" t="s">
        <v>134</v>
      </c>
      <c r="D26" s="25" t="s">
        <v>135</v>
      </c>
    </row>
    <row r="27" spans="2:4" ht="120" x14ac:dyDescent="0.25">
      <c r="B27" s="23" t="s">
        <v>136</v>
      </c>
      <c r="C27" s="23" t="s">
        <v>137</v>
      </c>
      <c r="D27" s="25" t="s">
        <v>138</v>
      </c>
    </row>
    <row r="28" spans="2:4" ht="33.75" customHeight="1" x14ac:dyDescent="0.25">
      <c r="B28" s="23" t="s">
        <v>139</v>
      </c>
      <c r="C28" s="23" t="s">
        <v>140</v>
      </c>
      <c r="D28" s="23" t="s">
        <v>141</v>
      </c>
    </row>
    <row r="29" spans="2:4" ht="33.75" customHeight="1" x14ac:dyDescent="0.25">
      <c r="B29" s="23" t="s">
        <v>142</v>
      </c>
      <c r="C29" s="23" t="s">
        <v>143</v>
      </c>
      <c r="D29" s="23" t="s">
        <v>141</v>
      </c>
    </row>
    <row r="30" spans="2:4" ht="47.25" customHeight="1" x14ac:dyDescent="0.3">
      <c r="B30" s="23" t="s">
        <v>144</v>
      </c>
      <c r="C30" s="23" t="s">
        <v>145</v>
      </c>
      <c r="D30" s="12" t="s">
        <v>146</v>
      </c>
    </row>
    <row r="31" spans="2:4" ht="61.5" x14ac:dyDescent="0.35">
      <c r="B31" s="23" t="s">
        <v>147</v>
      </c>
      <c r="C31" s="23" t="s">
        <v>148</v>
      </c>
      <c r="D31" s="12" t="s">
        <v>149</v>
      </c>
    </row>
    <row r="32" spans="2:4" x14ac:dyDescent="0.25">
      <c r="B32" s="16"/>
      <c r="C32" s="27"/>
    </row>
    <row r="33" spans="2:3" x14ac:dyDescent="0.25">
      <c r="B33" s="16"/>
      <c r="C33" s="27"/>
    </row>
    <row r="34" spans="2:3" x14ac:dyDescent="0.25">
      <c r="B34" s="16"/>
    </row>
    <row r="35" spans="2:3" x14ac:dyDescent="0.25">
      <c r="B35" s="16"/>
    </row>
  </sheetData>
  <mergeCells count="1">
    <mergeCell ref="B17:B23"/>
  </mergeCells>
  <pageMargins left="0.3" right="0.3" top="0.3" bottom="0.5" header="0.3" footer="0.3"/>
  <pageSetup scale="87" orientation="portrait" r:id="rId1"/>
  <headerFooter>
    <oddFooter>&amp;L&amp;F - &amp;A&amp;RPage &amp;P of &amp;N</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D3D30-1FB8-4579-98A7-ABDDADE90F60}">
  <sheetPr>
    <tabColor rgb="FFFFFF00"/>
    <pageSetUpPr fitToPage="1"/>
  </sheetPr>
  <dimension ref="A1"/>
  <sheetViews>
    <sheetView showGridLines="0" zoomScale="85" zoomScaleNormal="85" workbookViewId="0"/>
  </sheetViews>
  <sheetFormatPr defaultRowHeight="15" x14ac:dyDescent="0.25"/>
  <cols>
    <col min="1" max="1" width="3" customWidth="1"/>
    <col min="2" max="2" width="40.5703125" customWidth="1"/>
    <col min="3" max="3" width="27" customWidth="1"/>
  </cols>
  <sheetData/>
  <pageMargins left="0.3" right="0.3" top="0.3" bottom="0.5" header="0.3" footer="0.3"/>
  <pageSetup scale="86" orientation="portrait" r:id="rId1"/>
  <headerFooter>
    <oddFooter>&amp;L&amp;F - &amp;A&amp;RPage &amp;P of &amp;N</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C9FA7-5B78-4262-B624-E13E4F952CFB}">
  <sheetPr>
    <tabColor rgb="FF0000FF"/>
  </sheetPr>
  <dimension ref="B2:M24"/>
  <sheetViews>
    <sheetView zoomScale="115" zoomScaleNormal="115" workbookViewId="0">
      <selection activeCell="M10" sqref="M10"/>
    </sheetView>
  </sheetViews>
  <sheetFormatPr defaultRowHeight="15" x14ac:dyDescent="0.25"/>
  <cols>
    <col min="1" max="1" width="1.7109375" customWidth="1"/>
    <col min="5" max="5" width="11.28515625" customWidth="1"/>
    <col min="7" max="7" width="12.7109375" customWidth="1"/>
    <col min="8" max="8" width="10" customWidth="1"/>
    <col min="10" max="10" width="11.42578125" customWidth="1"/>
    <col min="11" max="11" width="1.28515625" customWidth="1"/>
    <col min="12" max="12" width="11.28515625" customWidth="1"/>
    <col min="13" max="13" width="34.28515625" customWidth="1"/>
    <col min="14" max="14" width="6" bestFit="1" customWidth="1"/>
  </cols>
  <sheetData>
    <row r="2" spans="2:13" x14ac:dyDescent="0.25">
      <c r="B2" t="s">
        <v>547</v>
      </c>
      <c r="G2" s="1" t="s">
        <v>328</v>
      </c>
      <c r="L2" s="1" t="s">
        <v>318</v>
      </c>
    </row>
    <row r="3" spans="2:13" x14ac:dyDescent="0.25">
      <c r="B3" t="s">
        <v>548</v>
      </c>
      <c r="G3" t="s">
        <v>549</v>
      </c>
    </row>
    <row r="5" spans="2:13" x14ac:dyDescent="0.25">
      <c r="G5" s="56" t="s">
        <v>299</v>
      </c>
      <c r="H5" s="56" t="s">
        <v>38</v>
      </c>
      <c r="I5" s="56" t="s">
        <v>39</v>
      </c>
      <c r="J5" s="56" t="s">
        <v>307</v>
      </c>
      <c r="L5" s="56" t="s">
        <v>307</v>
      </c>
      <c r="M5" s="56" t="s">
        <v>312</v>
      </c>
    </row>
    <row r="6" spans="2:13" x14ac:dyDescent="0.25">
      <c r="B6" s="56" t="s">
        <v>39</v>
      </c>
      <c r="C6" s="56" t="s">
        <v>546</v>
      </c>
      <c r="E6" s="56" t="s">
        <v>36</v>
      </c>
      <c r="G6" s="74">
        <v>45601</v>
      </c>
      <c r="H6" s="12" t="s">
        <v>316</v>
      </c>
      <c r="I6" s="12">
        <v>818.25</v>
      </c>
      <c r="J6" s="12" t="s">
        <v>237</v>
      </c>
      <c r="L6" s="12" t="s">
        <v>308</v>
      </c>
      <c r="M6" s="2" t="str" cm="1">
        <f t="array" ref="M6">_xlfn.TEXTJOIN(", ",,_xlfn._xlws.SORT(_xlfn.UNIQUE(_xlfn._xlws.FILTER($H$6:$H$24,$J$6:$J$24=L6))))</f>
        <v>Aspen, Carlota</v>
      </c>
    </row>
    <row r="7" spans="2:13" x14ac:dyDescent="0.25">
      <c r="B7" s="12">
        <v>45.25</v>
      </c>
      <c r="C7" s="2" cm="1">
        <f t="array" ref="C7:C10">ROUND(B7:B10*E7,2)</f>
        <v>0.66</v>
      </c>
      <c r="E7" s="12">
        <v>1.4500000000000001E-2</v>
      </c>
      <c r="G7" s="74">
        <v>45603</v>
      </c>
      <c r="H7" s="12" t="s">
        <v>314</v>
      </c>
      <c r="I7" s="12">
        <v>597.85</v>
      </c>
      <c r="J7" s="12" t="s">
        <v>311</v>
      </c>
      <c r="L7" s="12" t="s">
        <v>237</v>
      </c>
      <c r="M7" s="2" t="str" cm="1">
        <f t="array" ref="M7">_xlfn.TEXTJOIN(", ",,_xlfn._xlws.SORT(_xlfn.UNIQUE(_xlfn._xlws.FILTER($H$6:$H$24,$J$6:$J$24=L7))))</f>
        <v>Aspen, Beaut, Quad, Sunshine</v>
      </c>
    </row>
    <row r="8" spans="2:13" x14ac:dyDescent="0.25">
      <c r="B8" s="12">
        <v>62.78</v>
      </c>
      <c r="C8" s="2">
        <v>0.91</v>
      </c>
      <c r="G8" s="74">
        <v>45603</v>
      </c>
      <c r="H8" s="12" t="s">
        <v>315</v>
      </c>
      <c r="I8" s="12">
        <v>418.46</v>
      </c>
      <c r="J8" s="12" t="s">
        <v>237</v>
      </c>
      <c r="L8" s="12" t="s">
        <v>311</v>
      </c>
      <c r="M8" s="2" t="str" cm="1">
        <f t="array" ref="M8">_xlfn.TEXTJOIN(", ",,_xlfn._xlws.SORT(_xlfn.UNIQUE(_xlfn._xlws.FILTER($H$6:$H$24,$J$6:$J$24=L8))))</f>
        <v>Carlota, Sunset</v>
      </c>
    </row>
    <row r="9" spans="2:13" x14ac:dyDescent="0.25">
      <c r="B9" s="12">
        <v>82.11</v>
      </c>
      <c r="C9" s="2">
        <v>1.19</v>
      </c>
      <c r="G9" s="74">
        <v>45604</v>
      </c>
      <c r="H9" s="12" t="s">
        <v>316</v>
      </c>
      <c r="I9" s="12">
        <v>732.22</v>
      </c>
      <c r="J9" s="12" t="s">
        <v>309</v>
      </c>
      <c r="L9" s="12" t="s">
        <v>309</v>
      </c>
      <c r="M9" s="2" t="str" cm="1">
        <f t="array" ref="M9">_xlfn.TEXTJOIN(", ",,_xlfn._xlws.SORT(_xlfn.UNIQUE(_xlfn._xlws.FILTER($H$6:$H$24,$J$6:$J$24=L9))))</f>
        <v>Aspen, Sunset</v>
      </c>
    </row>
    <row r="10" spans="2:13" x14ac:dyDescent="0.25">
      <c r="B10" s="12">
        <v>35.01</v>
      </c>
      <c r="C10" s="2">
        <v>0.51</v>
      </c>
      <c r="G10" s="74">
        <v>45603</v>
      </c>
      <c r="H10" s="12" t="s">
        <v>313</v>
      </c>
      <c r="I10" s="12">
        <v>726.71</v>
      </c>
      <c r="J10" s="12" t="s">
        <v>311</v>
      </c>
      <c r="L10" s="12" t="s">
        <v>310</v>
      </c>
      <c r="M10" s="2" t="str" cm="1">
        <f t="array" ref="M10">_xlfn.TEXTJOIN(", ",,_xlfn._xlws.SORT(_xlfn.UNIQUE(_xlfn._xlws.FILTER($H$6:$H$24,$J$6:$J$24=L10))))</f>
        <v>Beaut</v>
      </c>
    </row>
    <row r="11" spans="2:13" x14ac:dyDescent="0.25">
      <c r="G11" s="74">
        <v>45604</v>
      </c>
      <c r="H11" s="12" t="s">
        <v>317</v>
      </c>
      <c r="I11" s="12">
        <v>846.07</v>
      </c>
      <c r="J11" s="12" t="s">
        <v>237</v>
      </c>
    </row>
    <row r="12" spans="2:13" x14ac:dyDescent="0.25">
      <c r="G12" s="74">
        <v>45600</v>
      </c>
      <c r="H12" s="12" t="s">
        <v>314</v>
      </c>
      <c r="I12" s="12">
        <v>392.16</v>
      </c>
      <c r="J12" s="12" t="s">
        <v>311</v>
      </c>
    </row>
    <row r="13" spans="2:13" x14ac:dyDescent="0.25">
      <c r="G13" s="74">
        <v>45600</v>
      </c>
      <c r="H13" s="12" t="s">
        <v>314</v>
      </c>
      <c r="I13" s="12">
        <v>830.48</v>
      </c>
      <c r="J13" s="12" t="s">
        <v>309</v>
      </c>
    </row>
    <row r="14" spans="2:13" x14ac:dyDescent="0.25">
      <c r="G14" s="74">
        <v>45604</v>
      </c>
      <c r="H14" s="12" t="s">
        <v>317</v>
      </c>
      <c r="I14" s="12">
        <v>99.33</v>
      </c>
      <c r="J14" s="12" t="s">
        <v>310</v>
      </c>
    </row>
    <row r="15" spans="2:13" x14ac:dyDescent="0.25">
      <c r="G15" s="74">
        <v>45603</v>
      </c>
      <c r="H15" s="12" t="s">
        <v>316</v>
      </c>
      <c r="I15" s="12">
        <v>577.29999999999995</v>
      </c>
      <c r="J15" s="12" t="s">
        <v>237</v>
      </c>
    </row>
    <row r="16" spans="2:13" x14ac:dyDescent="0.25">
      <c r="G16" s="74">
        <v>45602</v>
      </c>
      <c r="H16" s="12" t="s">
        <v>315</v>
      </c>
      <c r="I16" s="12">
        <v>770.12</v>
      </c>
      <c r="J16" s="12" t="s">
        <v>237</v>
      </c>
    </row>
    <row r="17" spans="7:10" x14ac:dyDescent="0.25">
      <c r="G17" s="74">
        <v>45602</v>
      </c>
      <c r="H17" s="12" t="s">
        <v>40</v>
      </c>
      <c r="I17" s="12">
        <v>828.86</v>
      </c>
      <c r="J17" s="12" t="s">
        <v>237</v>
      </c>
    </row>
    <row r="18" spans="7:10" x14ac:dyDescent="0.25">
      <c r="G18" s="74">
        <v>45600</v>
      </c>
      <c r="H18" s="12" t="s">
        <v>316</v>
      </c>
      <c r="I18" s="12">
        <v>545.54999999999995</v>
      </c>
      <c r="J18" s="12" t="s">
        <v>308</v>
      </c>
    </row>
    <row r="19" spans="7:10" x14ac:dyDescent="0.25">
      <c r="G19" s="74">
        <v>45601</v>
      </c>
      <c r="H19" s="12" t="s">
        <v>316</v>
      </c>
      <c r="I19" s="12">
        <v>586.63</v>
      </c>
      <c r="J19" s="12" t="s">
        <v>309</v>
      </c>
    </row>
    <row r="20" spans="7:10" x14ac:dyDescent="0.25">
      <c r="G20" s="74">
        <v>45603</v>
      </c>
      <c r="H20" s="12" t="s">
        <v>316</v>
      </c>
      <c r="I20" s="12">
        <v>883.53</v>
      </c>
      <c r="J20" s="12" t="s">
        <v>309</v>
      </c>
    </row>
    <row r="21" spans="7:10" x14ac:dyDescent="0.25">
      <c r="G21" s="74">
        <v>45602</v>
      </c>
      <c r="H21" s="12" t="s">
        <v>313</v>
      </c>
      <c r="I21" s="12">
        <v>549.24</v>
      </c>
      <c r="J21" s="12" t="s">
        <v>308</v>
      </c>
    </row>
    <row r="22" spans="7:10" x14ac:dyDescent="0.25">
      <c r="G22" s="74">
        <v>45601</v>
      </c>
      <c r="H22" s="12" t="s">
        <v>316</v>
      </c>
      <c r="I22" s="12">
        <v>422.28</v>
      </c>
      <c r="J22" s="12" t="s">
        <v>237</v>
      </c>
    </row>
    <row r="23" spans="7:10" x14ac:dyDescent="0.25">
      <c r="G23" s="74">
        <v>45604</v>
      </c>
      <c r="H23" s="12" t="s">
        <v>316</v>
      </c>
      <c r="I23" s="12">
        <v>162.71</v>
      </c>
      <c r="J23" s="12" t="s">
        <v>308</v>
      </c>
    </row>
    <row r="24" spans="7:10" x14ac:dyDescent="0.25">
      <c r="G24" s="74">
        <v>45603</v>
      </c>
      <c r="H24" s="12" t="s">
        <v>313</v>
      </c>
      <c r="I24" s="12">
        <v>171.44</v>
      </c>
      <c r="J24" s="12" t="s">
        <v>308</v>
      </c>
    </row>
  </sheetData>
  <sortState xmlns:xlrd2="http://schemas.microsoft.com/office/spreadsheetml/2017/richdata2" ref="G6:J10">
    <sortCondition ref="G6:G10"/>
  </sortStat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52045-B1F2-4FE6-8B46-3D65768ED38A}">
  <sheetPr>
    <tabColor rgb="FF0000FF"/>
  </sheetPr>
  <dimension ref="B1:J19"/>
  <sheetViews>
    <sheetView zoomScale="130" zoomScaleNormal="130" workbookViewId="0">
      <selection activeCell="C5" sqref="C5"/>
    </sheetView>
  </sheetViews>
  <sheetFormatPr defaultRowHeight="15" x14ac:dyDescent="0.25"/>
  <cols>
    <col min="1" max="1" width="1.7109375" customWidth="1"/>
    <col min="2" max="2" width="12.7109375" customWidth="1"/>
    <col min="3" max="3" width="10" customWidth="1"/>
    <col min="5" max="5" width="11.42578125" customWidth="1"/>
    <col min="6" max="6" width="1.28515625" customWidth="1"/>
    <col min="7" max="7" width="11.28515625" customWidth="1"/>
    <col min="8" max="8" width="32.7109375" customWidth="1"/>
    <col min="9" max="9" width="6" bestFit="1" customWidth="1"/>
  </cols>
  <sheetData>
    <row r="1" spans="2:10" ht="4.1500000000000004" customHeight="1" x14ac:dyDescent="0.25"/>
    <row r="2" spans="2:10" x14ac:dyDescent="0.25">
      <c r="B2" s="1" t="s">
        <v>319</v>
      </c>
    </row>
    <row r="3" spans="2:10" x14ac:dyDescent="0.25">
      <c r="B3" t="s">
        <v>321</v>
      </c>
    </row>
    <row r="4" spans="2:10" ht="4.1500000000000004" customHeight="1" x14ac:dyDescent="0.25"/>
    <row r="5" spans="2:10" x14ac:dyDescent="0.25">
      <c r="B5" s="3" t="s">
        <v>38</v>
      </c>
      <c r="C5" s="12" t="s">
        <v>314</v>
      </c>
    </row>
    <row r="6" spans="2:10" ht="4.1500000000000004" customHeight="1" x14ac:dyDescent="0.25">
      <c r="B6" s="1"/>
      <c r="E6" s="1"/>
    </row>
    <row r="7" spans="2:10" x14ac:dyDescent="0.25">
      <c r="B7" s="1" t="s">
        <v>320</v>
      </c>
      <c r="E7" s="1"/>
    </row>
    <row r="8" spans="2:10" ht="4.1500000000000004" customHeight="1" x14ac:dyDescent="0.25">
      <c r="B8" s="1"/>
      <c r="E8" s="1"/>
    </row>
    <row r="9" spans="2:10" x14ac:dyDescent="0.25">
      <c r="G9" t="str">
        <f>"Formula used in Conditional Format dialog box when the Active Cell is "&amp;ADDRESS(ROW(B13),COLUMN(B13),4)&amp;","</f>
        <v>Formula used in Conditional Format dialog box when the Active Cell is B13,</v>
      </c>
    </row>
    <row r="10" spans="2:10" x14ac:dyDescent="0.25">
      <c r="G10" t="str">
        <f>" and the formula is used in cell "&amp;ADDRESS(ROW(G12),COLUMN(G12),4)&amp;" in the worksheet:"</f>
        <v xml:space="preserve"> and the formula is used in cell G12 in the worksheet:</v>
      </c>
    </row>
    <row r="12" spans="2:10" x14ac:dyDescent="0.25">
      <c r="B12" s="56" t="s">
        <v>299</v>
      </c>
      <c r="C12" s="56" t="s">
        <v>38</v>
      </c>
      <c r="D12" s="56" t="s">
        <v>39</v>
      </c>
      <c r="E12" s="56" t="s">
        <v>307</v>
      </c>
    </row>
    <row r="13" spans="2:10" x14ac:dyDescent="0.25">
      <c r="B13" s="74">
        <v>45598</v>
      </c>
      <c r="C13" s="12" t="s">
        <v>316</v>
      </c>
      <c r="D13" s="12">
        <v>818.25</v>
      </c>
      <c r="E13" s="12" t="s">
        <v>237</v>
      </c>
      <c r="G13" s="74"/>
      <c r="H13" s="74"/>
      <c r="I13" s="74"/>
      <c r="J13" s="74"/>
    </row>
    <row r="14" spans="2:10" x14ac:dyDescent="0.25">
      <c r="B14" s="74">
        <v>45608</v>
      </c>
      <c r="C14" s="12" t="s">
        <v>314</v>
      </c>
      <c r="D14" s="12">
        <v>597.85</v>
      </c>
      <c r="E14" s="12" t="s">
        <v>311</v>
      </c>
      <c r="G14" s="74"/>
      <c r="H14" s="74"/>
      <c r="I14" s="74"/>
      <c r="J14" s="74"/>
    </row>
    <row r="15" spans="2:10" x14ac:dyDescent="0.25">
      <c r="B15" s="74">
        <v>45600</v>
      </c>
      <c r="C15" s="12" t="s">
        <v>315</v>
      </c>
      <c r="D15" s="12">
        <v>418.46</v>
      </c>
      <c r="E15" s="12" t="s">
        <v>237</v>
      </c>
      <c r="G15" s="74"/>
      <c r="H15" s="74"/>
      <c r="I15" s="74"/>
      <c r="J15" s="74"/>
    </row>
    <row r="16" spans="2:10" x14ac:dyDescent="0.25">
      <c r="B16" s="74">
        <v>45613</v>
      </c>
      <c r="C16" s="12" t="s">
        <v>316</v>
      </c>
      <c r="D16" s="12">
        <v>732.22</v>
      </c>
      <c r="E16" s="12" t="s">
        <v>309</v>
      </c>
      <c r="G16" s="74"/>
      <c r="H16" s="74"/>
      <c r="I16" s="74"/>
      <c r="J16" s="74"/>
    </row>
    <row r="17" spans="2:10" x14ac:dyDescent="0.25">
      <c r="B17" s="74">
        <v>45611</v>
      </c>
      <c r="C17" s="12" t="s">
        <v>315</v>
      </c>
      <c r="D17" s="12">
        <v>789.2</v>
      </c>
      <c r="E17" s="12" t="s">
        <v>237</v>
      </c>
      <c r="G17" s="74"/>
      <c r="H17" s="74"/>
      <c r="I17" s="74"/>
      <c r="J17" s="74"/>
    </row>
    <row r="18" spans="2:10" x14ac:dyDescent="0.25">
      <c r="B18" s="74">
        <v>45609</v>
      </c>
      <c r="C18" s="12" t="s">
        <v>313</v>
      </c>
      <c r="D18" s="12">
        <v>726.71</v>
      </c>
      <c r="E18" s="12" t="s">
        <v>311</v>
      </c>
      <c r="G18" s="74"/>
      <c r="H18" s="74"/>
      <c r="I18" s="74"/>
      <c r="J18" s="74"/>
    </row>
    <row r="19" spans="2:10" x14ac:dyDescent="0.25">
      <c r="B19" s="74">
        <v>45601</v>
      </c>
      <c r="C19" s="12" t="s">
        <v>317</v>
      </c>
      <c r="D19" s="12">
        <v>846.07</v>
      </c>
      <c r="E19" s="12" t="s">
        <v>237</v>
      </c>
      <c r="G19" s="74"/>
      <c r="H19" s="74"/>
      <c r="I19" s="74"/>
      <c r="J19" s="74"/>
    </row>
  </sheetData>
  <conditionalFormatting sqref="B13:E19">
    <cfRule type="expression" dxfId="1" priority="1">
      <formula>$C$5=$C13</formula>
    </cfRule>
  </conditionalFormatting>
  <dataValidations count="2">
    <dataValidation type="list" allowBlank="1" showInputMessage="1" showErrorMessage="1" sqref="C6:C8" xr:uid="{1AC9521D-BB3D-49B1-B18E-433461C8C913}">
      <formula1>_xlfn.ANCHORARRAY(#REF!)</formula1>
    </dataValidation>
    <dataValidation type="list" allowBlank="1" showInputMessage="1" showErrorMessage="1" sqref="C5" xr:uid="{00F9ABB3-460D-4505-9C39-879B5E4E3E90}">
      <formula1>$C$13:$C$19</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EF8A5-5E6C-442E-9314-50F8C8639E3B}">
  <sheetPr>
    <tabColor rgb="FFFFFF00"/>
  </sheetPr>
  <dimension ref="B2:D16"/>
  <sheetViews>
    <sheetView showGridLines="0" zoomScale="115" zoomScaleNormal="115" workbookViewId="0"/>
  </sheetViews>
  <sheetFormatPr defaultRowHeight="15" x14ac:dyDescent="0.25"/>
  <cols>
    <col min="1" max="1" width="1.85546875" customWidth="1"/>
    <col min="2" max="2" width="36.7109375" customWidth="1"/>
    <col min="3" max="3" width="1.85546875" customWidth="1"/>
    <col min="4" max="4" width="58.28515625" customWidth="1"/>
  </cols>
  <sheetData>
    <row r="2" spans="2:4" x14ac:dyDescent="0.25">
      <c r="B2" s="3" t="s">
        <v>133</v>
      </c>
      <c r="D2" s="3" t="s">
        <v>188</v>
      </c>
    </row>
    <row r="3" spans="2:4" x14ac:dyDescent="0.25">
      <c r="B3" s="12" t="s">
        <v>175</v>
      </c>
      <c r="D3" s="12" t="s">
        <v>189</v>
      </c>
    </row>
    <row r="4" spans="2:4" x14ac:dyDescent="0.25">
      <c r="B4" s="12" t="s">
        <v>176</v>
      </c>
    </row>
    <row r="5" spans="2:4" x14ac:dyDescent="0.25">
      <c r="B5" s="12" t="s">
        <v>177</v>
      </c>
      <c r="D5" s="3" t="s">
        <v>190</v>
      </c>
    </row>
    <row r="6" spans="2:4" x14ac:dyDescent="0.25">
      <c r="B6" s="12" t="s">
        <v>178</v>
      </c>
      <c r="D6" s="44" t="s">
        <v>191</v>
      </c>
    </row>
    <row r="7" spans="2:4" x14ac:dyDescent="0.25">
      <c r="B7" s="12" t="s">
        <v>179</v>
      </c>
      <c r="D7" s="45" t="s">
        <v>192</v>
      </c>
    </row>
    <row r="8" spans="2:4" x14ac:dyDescent="0.25">
      <c r="B8" s="12" t="s">
        <v>180</v>
      </c>
      <c r="D8" s="44" t="s">
        <v>193</v>
      </c>
    </row>
    <row r="9" spans="2:4" x14ac:dyDescent="0.25">
      <c r="D9" s="45" t="s">
        <v>194</v>
      </c>
    </row>
    <row r="10" spans="2:4" x14ac:dyDescent="0.25">
      <c r="B10" s="3" t="s">
        <v>181</v>
      </c>
      <c r="D10" s="44" t="s">
        <v>196</v>
      </c>
    </row>
    <row r="11" spans="2:4" x14ac:dyDescent="0.25">
      <c r="B11" s="12" t="s">
        <v>182</v>
      </c>
      <c r="D11" s="45" t="s">
        <v>195</v>
      </c>
    </row>
    <row r="12" spans="2:4" x14ac:dyDescent="0.25">
      <c r="B12" s="12" t="s">
        <v>183</v>
      </c>
      <c r="D12" s="44" t="s">
        <v>323</v>
      </c>
    </row>
    <row r="13" spans="2:4" ht="30" x14ac:dyDescent="0.25">
      <c r="B13" s="12" t="s">
        <v>184</v>
      </c>
      <c r="D13" s="45" t="s">
        <v>197</v>
      </c>
    </row>
    <row r="14" spans="2:4" x14ac:dyDescent="0.25">
      <c r="B14" s="12" t="s">
        <v>185</v>
      </c>
    </row>
    <row r="15" spans="2:4" x14ac:dyDescent="0.25">
      <c r="B15" s="12" t="s">
        <v>186</v>
      </c>
    </row>
    <row r="16" spans="2:4" x14ac:dyDescent="0.25">
      <c r="B16" s="12" t="s">
        <v>187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D1824-3F04-4316-A97D-A2379F7D1560}">
  <sheetPr>
    <tabColor rgb="FF0000FF"/>
  </sheetPr>
  <dimension ref="B1:H24"/>
  <sheetViews>
    <sheetView showGridLines="0" zoomScaleNormal="100" workbookViewId="0">
      <selection activeCell="G16" sqref="G16"/>
    </sheetView>
  </sheetViews>
  <sheetFormatPr defaultRowHeight="15" x14ac:dyDescent="0.25"/>
  <cols>
    <col min="1" max="1" width="0.85546875" customWidth="1"/>
    <col min="2" max="2" width="40.5703125" customWidth="1"/>
    <col min="3" max="3" width="22.140625" customWidth="1"/>
    <col min="4" max="4" width="1.42578125" customWidth="1"/>
    <col min="5" max="5" width="12.28515625" customWidth="1"/>
    <col min="6" max="6" width="9.28515625" customWidth="1"/>
    <col min="7" max="7" width="13.140625" customWidth="1"/>
  </cols>
  <sheetData>
    <row r="1" spans="2:8" ht="8.25" customHeight="1" x14ac:dyDescent="0.25"/>
    <row r="2" spans="2:8" x14ac:dyDescent="0.25">
      <c r="B2" s="75" t="s">
        <v>150</v>
      </c>
      <c r="C2" s="76"/>
      <c r="E2" s="1" t="s">
        <v>478</v>
      </c>
    </row>
    <row r="3" spans="2:8" x14ac:dyDescent="0.25">
      <c r="B3" s="28" t="s">
        <v>151</v>
      </c>
      <c r="C3" s="29"/>
      <c r="E3" s="1" t="s">
        <v>497</v>
      </c>
    </row>
    <row r="4" spans="2:8" x14ac:dyDescent="0.25">
      <c r="B4" s="30" t="s">
        <v>481</v>
      </c>
      <c r="C4" s="31"/>
      <c r="E4" s="62" t="s">
        <v>479</v>
      </c>
      <c r="F4" s="62" t="s">
        <v>480</v>
      </c>
      <c r="G4" s="62" t="s">
        <v>365</v>
      </c>
      <c r="H4" s="1"/>
    </row>
    <row r="5" spans="2:8" x14ac:dyDescent="0.25">
      <c r="B5" s="123" t="s">
        <v>482</v>
      </c>
      <c r="C5" s="31"/>
      <c r="E5" s="97">
        <v>0.39583333333333331</v>
      </c>
      <c r="F5" s="97">
        <v>0.625</v>
      </c>
      <c r="G5" s="2">
        <f>(F5-E5)*24</f>
        <v>5.5</v>
      </c>
    </row>
    <row r="6" spans="2:8" x14ac:dyDescent="0.25">
      <c r="B6" s="32" t="s">
        <v>152</v>
      </c>
      <c r="C6" s="33"/>
      <c r="G6" t="str">
        <f ca="1">_xlfn.IFNA(_xlfn.FORMULATEXT(G5),"")</f>
        <v>=(F5-E5)*24</v>
      </c>
    </row>
    <row r="7" spans="2:8" x14ac:dyDescent="0.25">
      <c r="B7" s="32" t="s">
        <v>153</v>
      </c>
      <c r="C7" s="33"/>
      <c r="E7" s="1" t="s">
        <v>493</v>
      </c>
    </row>
    <row r="8" spans="2:8" x14ac:dyDescent="0.25">
      <c r="B8" s="32" t="s">
        <v>154</v>
      </c>
      <c r="C8" s="33"/>
      <c r="E8" s="1" t="s">
        <v>498</v>
      </c>
    </row>
    <row r="9" spans="2:8" x14ac:dyDescent="0.25">
      <c r="B9" s="32" t="s">
        <v>820</v>
      </c>
      <c r="C9" s="33"/>
      <c r="E9" s="62" t="s">
        <v>344</v>
      </c>
      <c r="F9" s="62" t="s">
        <v>495</v>
      </c>
      <c r="G9" s="62" t="s">
        <v>496</v>
      </c>
    </row>
    <row r="10" spans="2:8" x14ac:dyDescent="0.25">
      <c r="B10" s="32" t="s">
        <v>168</v>
      </c>
      <c r="C10" s="33"/>
      <c r="E10" s="12">
        <v>15</v>
      </c>
      <c r="F10" s="12">
        <v>4</v>
      </c>
      <c r="G10" s="2" t="b">
        <f>50&lt;E10*F10</f>
        <v>1</v>
      </c>
    </row>
    <row r="11" spans="2:8" x14ac:dyDescent="0.25">
      <c r="B11" s="32" t="s">
        <v>169</v>
      </c>
      <c r="C11" s="33"/>
      <c r="G11" t="str">
        <f ca="1">_xlfn.IFNA(_xlfn.FORMULATEXT(G10),"")</f>
        <v>=50&lt;E10*F10</v>
      </c>
    </row>
    <row r="12" spans="2:8" x14ac:dyDescent="0.25">
      <c r="B12" s="30" t="s">
        <v>155</v>
      </c>
      <c r="C12" s="31"/>
    </row>
    <row r="13" spans="2:8" x14ac:dyDescent="0.25">
      <c r="B13" s="32" t="s">
        <v>156</v>
      </c>
      <c r="C13" s="33"/>
      <c r="E13" s="1" t="s">
        <v>494</v>
      </c>
    </row>
    <row r="14" spans="2:8" x14ac:dyDescent="0.25">
      <c r="B14" s="32" t="s">
        <v>157</v>
      </c>
      <c r="C14" s="33"/>
      <c r="E14" s="1" t="s">
        <v>499</v>
      </c>
    </row>
    <row r="15" spans="2:8" x14ac:dyDescent="0.25">
      <c r="B15" s="32" t="s">
        <v>158</v>
      </c>
      <c r="C15" s="33"/>
      <c r="E15" s="22" t="s">
        <v>490</v>
      </c>
      <c r="F15" s="22" t="s">
        <v>491</v>
      </c>
      <c r="G15" s="22" t="s">
        <v>492</v>
      </c>
    </row>
    <row r="16" spans="2:8" x14ac:dyDescent="0.25">
      <c r="B16" s="30" t="s">
        <v>159</v>
      </c>
      <c r="C16" s="31"/>
      <c r="E16" s="12">
        <v>250</v>
      </c>
      <c r="F16" s="12">
        <v>4</v>
      </c>
      <c r="G16" s="2" cm="1">
        <f t="array" ref="G16">SUM(IF((F20:F24&gt;E16)+(G20:G24&gt;F16),1))</f>
        <v>3</v>
      </c>
    </row>
    <row r="17" spans="2:7" x14ac:dyDescent="0.25">
      <c r="B17" s="34" t="s">
        <v>160</v>
      </c>
      <c r="C17" s="35"/>
      <c r="E17" t="str">
        <f ca="1">_xlfn.IFNA(_xlfn.FORMULATEXT(G16),"")</f>
        <v>=SUM(IF((F20:F24&gt;E16)+(G20:G24&gt;F16),1))</v>
      </c>
    </row>
    <row r="18" spans="2:7" x14ac:dyDescent="0.25">
      <c r="B18" s="36" t="s">
        <v>161</v>
      </c>
      <c r="C18" s="37"/>
    </row>
    <row r="19" spans="2:7" x14ac:dyDescent="0.25">
      <c r="B19" s="36" t="s">
        <v>162</v>
      </c>
      <c r="C19" s="37"/>
      <c r="E19" s="22" t="s">
        <v>483</v>
      </c>
      <c r="F19" s="22" t="s">
        <v>489</v>
      </c>
      <c r="G19" s="22" t="s">
        <v>406</v>
      </c>
    </row>
    <row r="20" spans="2:7" x14ac:dyDescent="0.25">
      <c r="B20" s="38" t="s">
        <v>163</v>
      </c>
      <c r="C20" s="39"/>
      <c r="E20" s="12" t="s">
        <v>484</v>
      </c>
      <c r="F20" s="12">
        <v>275</v>
      </c>
      <c r="G20" s="12">
        <v>5</v>
      </c>
    </row>
    <row r="21" spans="2:7" x14ac:dyDescent="0.25">
      <c r="B21" s="28" t="s">
        <v>164</v>
      </c>
      <c r="C21" s="29"/>
      <c r="E21" s="12" t="s">
        <v>485</v>
      </c>
      <c r="F21" s="12">
        <v>225</v>
      </c>
      <c r="G21" s="12">
        <v>4.5</v>
      </c>
    </row>
    <row r="22" spans="2:7" x14ac:dyDescent="0.25">
      <c r="B22" s="28" t="s">
        <v>165</v>
      </c>
      <c r="C22" s="29"/>
      <c r="E22" s="12" t="s">
        <v>486</v>
      </c>
      <c r="F22" s="12">
        <v>195</v>
      </c>
      <c r="G22" s="12">
        <v>3</v>
      </c>
    </row>
    <row r="23" spans="2:7" x14ac:dyDescent="0.25">
      <c r="B23" s="30" t="s">
        <v>166</v>
      </c>
      <c r="C23" s="31"/>
      <c r="E23" s="12" t="s">
        <v>487</v>
      </c>
      <c r="F23" s="12">
        <v>115</v>
      </c>
      <c r="G23" s="12">
        <v>6</v>
      </c>
    </row>
    <row r="24" spans="2:7" x14ac:dyDescent="0.25">
      <c r="B24" s="40" t="s">
        <v>167</v>
      </c>
      <c r="C24" s="41"/>
      <c r="E24" s="12" t="s">
        <v>488</v>
      </c>
      <c r="F24" s="12">
        <v>95</v>
      </c>
      <c r="G24" s="12">
        <v>1.5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9DE30-3B92-43EF-9E62-A96ED0C98364}">
  <sheetPr>
    <tabColor rgb="FFFFFF00"/>
  </sheetPr>
  <dimension ref="B1:B31"/>
  <sheetViews>
    <sheetView showGridLines="0" topLeftCell="A15" zoomScale="115" zoomScaleNormal="115" workbookViewId="0"/>
  </sheetViews>
  <sheetFormatPr defaultRowHeight="15" x14ac:dyDescent="0.25"/>
  <cols>
    <col min="1" max="1" width="3" customWidth="1"/>
    <col min="2" max="2" width="94.28515625" customWidth="1"/>
  </cols>
  <sheetData>
    <row r="1" spans="2:2" ht="5.65" customHeight="1" x14ac:dyDescent="0.25"/>
    <row r="2" spans="2:2" x14ac:dyDescent="0.25">
      <c r="B2" s="3" t="s">
        <v>5</v>
      </c>
    </row>
    <row r="3" spans="2:2" ht="30" x14ac:dyDescent="0.25">
      <c r="B3" s="13" t="s">
        <v>18</v>
      </c>
    </row>
    <row r="4" spans="2:2" ht="30" x14ac:dyDescent="0.25">
      <c r="B4" s="13" t="s">
        <v>19</v>
      </c>
    </row>
    <row r="5" spans="2:2" ht="30" x14ac:dyDescent="0.25">
      <c r="B5" s="13" t="s">
        <v>20</v>
      </c>
    </row>
    <row r="7" spans="2:2" x14ac:dyDescent="0.25">
      <c r="B7" s="4" t="s">
        <v>6</v>
      </c>
    </row>
    <row r="8" spans="2:2" ht="30" x14ac:dyDescent="0.25">
      <c r="B8" s="5" t="s">
        <v>7</v>
      </c>
    </row>
    <row r="9" spans="2:2" ht="30" x14ac:dyDescent="0.25">
      <c r="B9" s="9" t="s">
        <v>8</v>
      </c>
    </row>
    <row r="10" spans="2:2" ht="45" x14ac:dyDescent="0.25">
      <c r="B10" s="14" t="s">
        <v>9</v>
      </c>
    </row>
    <row r="11" spans="2:2" x14ac:dyDescent="0.25">
      <c r="B11" s="7" t="s">
        <v>10</v>
      </c>
    </row>
    <row r="12" spans="2:2" x14ac:dyDescent="0.25">
      <c r="B12" s="8" t="s">
        <v>11</v>
      </c>
    </row>
    <row r="13" spans="2:2" ht="30" x14ac:dyDescent="0.25">
      <c r="B13" s="8" t="s">
        <v>12</v>
      </c>
    </row>
    <row r="14" spans="2:2" ht="30" x14ac:dyDescent="0.25">
      <c r="B14" s="8" t="s">
        <v>13</v>
      </c>
    </row>
    <row r="15" spans="2:2" ht="75" x14ac:dyDescent="0.25">
      <c r="B15" s="9" t="s">
        <v>14</v>
      </c>
    </row>
    <row r="16" spans="2:2" ht="60" x14ac:dyDescent="0.25">
      <c r="B16" s="14" t="s">
        <v>15</v>
      </c>
    </row>
    <row r="17" spans="2:2" ht="45" x14ac:dyDescent="0.25">
      <c r="B17" s="15" t="s">
        <v>16</v>
      </c>
    </row>
    <row r="18" spans="2:2" ht="45" x14ac:dyDescent="0.25">
      <c r="B18" s="6" t="s">
        <v>392</v>
      </c>
    </row>
    <row r="19" spans="2:2" x14ac:dyDescent="0.25">
      <c r="B19" s="10" t="s">
        <v>387</v>
      </c>
    </row>
    <row r="20" spans="2:2" x14ac:dyDescent="0.25">
      <c r="B20" s="11" t="s">
        <v>386</v>
      </c>
    </row>
    <row r="21" spans="2:2" x14ac:dyDescent="0.25">
      <c r="B21" s="11" t="s">
        <v>385</v>
      </c>
    </row>
    <row r="22" spans="2:2" ht="30" x14ac:dyDescent="0.25">
      <c r="B22" s="111" t="s">
        <v>397</v>
      </c>
    </row>
    <row r="23" spans="2:2" x14ac:dyDescent="0.25">
      <c r="B23" s="8" t="s">
        <v>388</v>
      </c>
    </row>
    <row r="24" spans="2:2" ht="30" x14ac:dyDescent="0.25">
      <c r="B24" s="109" t="s">
        <v>389</v>
      </c>
    </row>
    <row r="25" spans="2:2" ht="30" x14ac:dyDescent="0.25">
      <c r="B25" s="109" t="s">
        <v>390</v>
      </c>
    </row>
    <row r="26" spans="2:2" x14ac:dyDescent="0.25">
      <c r="B26" s="110" t="s">
        <v>391</v>
      </c>
    </row>
    <row r="27" spans="2:2" x14ac:dyDescent="0.25">
      <c r="B27" s="109" t="s">
        <v>393</v>
      </c>
    </row>
    <row r="28" spans="2:2" x14ac:dyDescent="0.25">
      <c r="B28" s="109" t="s">
        <v>394</v>
      </c>
    </row>
    <row r="29" spans="2:2" x14ac:dyDescent="0.25">
      <c r="B29" s="109" t="s">
        <v>395</v>
      </c>
    </row>
    <row r="30" spans="2:2" ht="30" x14ac:dyDescent="0.25">
      <c r="B30" s="112" t="s">
        <v>396</v>
      </c>
    </row>
    <row r="31" spans="2:2" ht="11.25" customHeight="1" x14ac:dyDescent="0.25"/>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8EFB7-8351-47EF-8BBB-2F244B2C1C25}">
  <sheetPr>
    <tabColor rgb="FF0000FF"/>
  </sheetPr>
  <dimension ref="B2:I16"/>
  <sheetViews>
    <sheetView zoomScale="115" zoomScaleNormal="115" workbookViewId="0">
      <selection activeCell="C13" sqref="C13"/>
    </sheetView>
  </sheetViews>
  <sheetFormatPr defaultRowHeight="15" x14ac:dyDescent="0.25"/>
  <cols>
    <col min="1" max="1" width="2.28515625" customWidth="1"/>
    <col min="2" max="2" width="28.28515625" customWidth="1"/>
    <col min="3" max="3" width="21.7109375" customWidth="1"/>
    <col min="4" max="4" width="4.28515625" customWidth="1"/>
    <col min="5" max="5" width="21" customWidth="1"/>
    <col min="6" max="6" width="10.5703125" customWidth="1"/>
    <col min="7" max="7" width="10" bestFit="1" customWidth="1"/>
    <col min="8" max="8" width="9.140625" bestFit="1" customWidth="1"/>
    <col min="9" max="9" width="6.7109375" bestFit="1" customWidth="1"/>
  </cols>
  <sheetData>
    <row r="2" spans="2:9" x14ac:dyDescent="0.25">
      <c r="B2" s="1" t="s">
        <v>275</v>
      </c>
    </row>
    <row r="3" spans="2:9" x14ac:dyDescent="0.25">
      <c r="B3" s="1"/>
    </row>
    <row r="4" spans="2:9" x14ac:dyDescent="0.25">
      <c r="B4" s="1" t="s">
        <v>276</v>
      </c>
    </row>
    <row r="5" spans="2:9" x14ac:dyDescent="0.25">
      <c r="B5" s="56" t="s">
        <v>271</v>
      </c>
      <c r="C5" s="12">
        <v>43</v>
      </c>
    </row>
    <row r="6" spans="2:9" x14ac:dyDescent="0.25">
      <c r="B6" s="56" t="s">
        <v>272</v>
      </c>
      <c r="C6" s="58">
        <v>22.5</v>
      </c>
    </row>
    <row r="7" spans="2:9" x14ac:dyDescent="0.25">
      <c r="B7" s="56" t="s">
        <v>331</v>
      </c>
      <c r="C7" s="2">
        <f>C6*C5</f>
        <v>967.5</v>
      </c>
      <c r="E7" t="str">
        <f ca="1">_xlfn.IFNA(_xlfn.FORMULATEXT(C7),"")</f>
        <v>=C6*C5</v>
      </c>
    </row>
    <row r="8" spans="2:9" x14ac:dyDescent="0.25">
      <c r="G8" s="22" t="s">
        <v>578</v>
      </c>
      <c r="H8" s="22" t="s">
        <v>38</v>
      </c>
      <c r="I8" s="22" t="s">
        <v>344</v>
      </c>
    </row>
    <row r="9" spans="2:9" x14ac:dyDescent="0.25">
      <c r="B9" s="1" t="s">
        <v>277</v>
      </c>
      <c r="G9" s="12">
        <v>3259</v>
      </c>
      <c r="H9" s="12" t="s">
        <v>579</v>
      </c>
      <c r="I9" s="12">
        <v>28.95</v>
      </c>
    </row>
    <row r="10" spans="2:9" x14ac:dyDescent="0.25">
      <c r="B10" s="56" t="s">
        <v>575</v>
      </c>
      <c r="C10" s="12" t="s">
        <v>574</v>
      </c>
      <c r="G10" s="12">
        <v>4396</v>
      </c>
      <c r="H10" s="12" t="s">
        <v>40</v>
      </c>
      <c r="I10" s="12">
        <v>39.950000000000003</v>
      </c>
    </row>
    <row r="11" spans="2:9" x14ac:dyDescent="0.25">
      <c r="B11" s="59" t="s">
        <v>576</v>
      </c>
      <c r="C11" s="2" t="str">
        <f>_xlfn.TEXTAFTER(C10,"-")</f>
        <v>4396</v>
      </c>
      <c r="E11" t="str">
        <f ca="1">_xlfn.IFNA(_xlfn.FORMULATEXT(C11),"")</f>
        <v>=TEXTAFTER(C10,"-")</v>
      </c>
      <c r="G11" s="12">
        <v>4215</v>
      </c>
      <c r="H11" s="12" t="s">
        <v>315</v>
      </c>
      <c r="I11" s="12">
        <v>26.95</v>
      </c>
    </row>
    <row r="12" spans="2:9" ht="30" x14ac:dyDescent="0.25">
      <c r="B12" s="59" t="s">
        <v>274</v>
      </c>
      <c r="C12" s="2">
        <f>_xlfn.TEXTAFTER(C10,"-")+0</f>
        <v>4396</v>
      </c>
      <c r="E12" t="str">
        <f ca="1">_xlfn.IFNA(_xlfn.FORMULATEXT(C12),"")</f>
        <v>=TEXTAFTER(C10,"-")+0</v>
      </c>
    </row>
    <row r="13" spans="2:9" x14ac:dyDescent="0.25">
      <c r="B13" s="59" t="s">
        <v>577</v>
      </c>
      <c r="C13" s="2">
        <f>_xlfn.XLOOKUP(_xlfn.TEXTAFTER(C10,"-")+0,G9:G11,I9:I11)</f>
        <v>39.950000000000003</v>
      </c>
      <c r="E13" t="str">
        <f ca="1">_xlfn.IFNA(_xlfn.FORMULATEXT(C13),"")</f>
        <v>=XLOOKUP(TEXTAFTER(C10,"-")+0,G9:G11,I9:I11)</v>
      </c>
    </row>
    <row r="15" spans="2:9" x14ac:dyDescent="0.25">
      <c r="B15" s="1" t="s">
        <v>278</v>
      </c>
    </row>
    <row r="16" spans="2:9" ht="30" x14ac:dyDescent="0.25">
      <c r="B16" s="59" t="s">
        <v>580</v>
      </c>
      <c r="C16" s="2" t="b">
        <f>C11=C12</f>
        <v>0</v>
      </c>
      <c r="E16" t="str">
        <f ca="1">_xlfn.IFNA(_xlfn.FORMULATEXT(C16),"")</f>
        <v>=C11=C12</v>
      </c>
    </row>
  </sheetData>
  <sortState xmlns:xlrd2="http://schemas.microsoft.com/office/spreadsheetml/2017/richdata2" ref="G9:I11">
    <sortCondition ref="H9:H11"/>
  </sortState>
  <phoneticPr fontId="9"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DF0C1-FD1A-48CC-854B-C7F17DD9E09F}">
  <sheetPr>
    <tabColor rgb="FF0000FF"/>
  </sheetPr>
  <dimension ref="B1:E15"/>
  <sheetViews>
    <sheetView zoomScale="130" zoomScaleNormal="130" workbookViewId="0">
      <selection activeCell="F13" sqref="F13"/>
    </sheetView>
  </sheetViews>
  <sheetFormatPr defaultColWidth="20.42578125" defaultRowHeight="15" x14ac:dyDescent="0.25"/>
  <cols>
    <col min="1" max="1" width="1.42578125" customWidth="1"/>
    <col min="4" max="4" width="2.28515625" customWidth="1"/>
  </cols>
  <sheetData>
    <row r="1" spans="2:5" ht="4.5" customHeight="1" x14ac:dyDescent="0.25"/>
    <row r="2" spans="2:5" x14ac:dyDescent="0.25">
      <c r="B2" s="1" t="s">
        <v>532</v>
      </c>
    </row>
    <row r="3" spans="2:5" ht="4.5" customHeight="1" x14ac:dyDescent="0.25"/>
    <row r="4" spans="2:5" x14ac:dyDescent="0.25">
      <c r="B4" s="59" t="s">
        <v>525</v>
      </c>
      <c r="C4" s="24" t="s">
        <v>430</v>
      </c>
      <c r="E4" t="str" cm="1">
        <f t="array" aca="1" ref="E4:E15" ca="1">_xlfn.IFNA(_xlfn.FORMULATEXT(C4:C15),"")</f>
        <v/>
      </c>
    </row>
    <row r="5" spans="2:5" x14ac:dyDescent="0.25">
      <c r="B5" s="59" t="s">
        <v>297</v>
      </c>
      <c r="C5" s="2">
        <f>C4+0</f>
        <v>43</v>
      </c>
      <c r="E5" t="str">
        <f ca="1"/>
        <v>=C4+0</v>
      </c>
    </row>
    <row r="6" spans="2:5" x14ac:dyDescent="0.25">
      <c r="B6" s="59" t="s">
        <v>525</v>
      </c>
      <c r="C6" s="24" t="s">
        <v>430</v>
      </c>
      <c r="E6" t="str">
        <f ca="1"/>
        <v/>
      </c>
    </row>
    <row r="7" spans="2:5" x14ac:dyDescent="0.25">
      <c r="B7" s="59" t="s">
        <v>297</v>
      </c>
      <c r="C7" s="2">
        <f>VALUE(C6)</f>
        <v>43</v>
      </c>
      <c r="E7" t="str">
        <f ca="1"/>
        <v>=VALUE(C6)</v>
      </c>
    </row>
    <row r="8" spans="2:5" x14ac:dyDescent="0.25">
      <c r="B8" s="59" t="s">
        <v>526</v>
      </c>
      <c r="C8" s="24" t="s">
        <v>530</v>
      </c>
      <c r="E8" t="str">
        <f ca="1"/>
        <v/>
      </c>
    </row>
    <row r="9" spans="2:5" x14ac:dyDescent="0.25">
      <c r="B9" s="59" t="s">
        <v>527</v>
      </c>
      <c r="C9" s="2">
        <f>C8+0</f>
        <v>45653</v>
      </c>
      <c r="E9" t="str">
        <f ca="1"/>
        <v>=C8+0</v>
      </c>
    </row>
    <row r="10" spans="2:5" x14ac:dyDescent="0.25">
      <c r="B10" s="59" t="s">
        <v>526</v>
      </c>
      <c r="C10" s="24" t="s">
        <v>530</v>
      </c>
      <c r="E10" t="str">
        <f ca="1"/>
        <v/>
      </c>
    </row>
    <row r="11" spans="2:5" x14ac:dyDescent="0.25">
      <c r="B11" s="59" t="s">
        <v>527</v>
      </c>
      <c r="C11" s="2">
        <f>DATEVALUE(C10)</f>
        <v>45653</v>
      </c>
      <c r="E11" t="str">
        <f ca="1"/>
        <v>=DATEVALUE(C10)</v>
      </c>
    </row>
    <row r="12" spans="2:5" x14ac:dyDescent="0.25">
      <c r="B12" s="59" t="s">
        <v>528</v>
      </c>
      <c r="C12" s="24" t="s">
        <v>531</v>
      </c>
      <c r="E12" t="str">
        <f ca="1"/>
        <v/>
      </c>
    </row>
    <row r="13" spans="2:5" x14ac:dyDescent="0.25">
      <c r="B13" s="59" t="s">
        <v>529</v>
      </c>
      <c r="C13" s="2">
        <f>C12+0</f>
        <v>0.93402777777777779</v>
      </c>
      <c r="E13" t="str">
        <f ca="1"/>
        <v>=C12+0</v>
      </c>
    </row>
    <row r="14" spans="2:5" x14ac:dyDescent="0.25">
      <c r="B14" s="59" t="s">
        <v>528</v>
      </c>
      <c r="C14" s="24" t="s">
        <v>531</v>
      </c>
      <c r="E14" t="str">
        <f ca="1"/>
        <v/>
      </c>
    </row>
    <row r="15" spans="2:5" x14ac:dyDescent="0.25">
      <c r="B15" s="59" t="s">
        <v>529</v>
      </c>
      <c r="C15" s="2">
        <f>TIMEVALUE(C14)</f>
        <v>0.93402777777777779</v>
      </c>
      <c r="E15" t="str">
        <f ca="1"/>
        <v>=TIMEVALUE(C14)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370A8-CB05-4C9B-A277-EBB57C62C69C}">
  <sheetPr>
    <tabColor rgb="FF0000FF"/>
  </sheetPr>
  <dimension ref="B1:K24"/>
  <sheetViews>
    <sheetView zoomScale="115" zoomScaleNormal="115" workbookViewId="0">
      <selection activeCell="K19" sqref="K19"/>
    </sheetView>
  </sheetViews>
  <sheetFormatPr defaultRowHeight="15" x14ac:dyDescent="0.25"/>
  <cols>
    <col min="1" max="1" width="1.140625" customWidth="1"/>
    <col min="2" max="2" width="10.28515625" customWidth="1"/>
    <col min="3" max="3" width="13.140625" customWidth="1"/>
    <col min="4" max="4" width="8" customWidth="1"/>
    <col min="6" max="6" width="12.5703125" customWidth="1"/>
    <col min="7" max="7" width="14.7109375" customWidth="1"/>
    <col min="9" max="9" width="14.140625" customWidth="1"/>
    <col min="10" max="10" width="16" customWidth="1"/>
    <col min="11" max="11" width="29" customWidth="1"/>
    <col min="12" max="12" width="19" bestFit="1" customWidth="1"/>
    <col min="13" max="13" width="1.7109375" customWidth="1"/>
    <col min="14" max="14" width="8.85546875" customWidth="1"/>
    <col min="15" max="15" width="8.140625" customWidth="1"/>
    <col min="16" max="16" width="1.7109375" customWidth="1"/>
    <col min="17" max="17" width="26.28515625" bestFit="1" customWidth="1"/>
    <col min="18" max="18" width="0.7109375" customWidth="1"/>
    <col min="20" max="20" width="7.28515625" customWidth="1"/>
    <col min="21" max="21" width="0.85546875" customWidth="1"/>
    <col min="22" max="22" width="30.42578125" bestFit="1" customWidth="1"/>
  </cols>
  <sheetData>
    <row r="1" spans="2:11" ht="6.4" customHeight="1" x14ac:dyDescent="0.25"/>
    <row r="2" spans="2:11" x14ac:dyDescent="0.25">
      <c r="B2" s="28" t="s">
        <v>283</v>
      </c>
      <c r="C2" s="61"/>
      <c r="D2" s="61"/>
      <c r="E2" s="61"/>
      <c r="F2" s="61"/>
      <c r="G2" s="61"/>
      <c r="H2" s="61"/>
      <c r="I2" s="61"/>
      <c r="J2" s="61"/>
      <c r="K2" s="29"/>
    </row>
    <row r="3" spans="2:11" ht="6.4" customHeight="1" thickBot="1" x14ac:dyDescent="0.3"/>
    <row r="4" spans="2:11" x14ac:dyDescent="0.25">
      <c r="B4" s="46" t="s">
        <v>334</v>
      </c>
      <c r="C4" s="48"/>
      <c r="D4" s="49"/>
      <c r="E4" s="46" t="s">
        <v>335</v>
      </c>
      <c r="F4" s="48"/>
      <c r="G4" s="48"/>
      <c r="H4" s="46" t="s">
        <v>398</v>
      </c>
      <c r="I4" s="48"/>
      <c r="J4" s="49"/>
      <c r="K4" s="85" t="s">
        <v>399</v>
      </c>
    </row>
    <row r="5" spans="2:11" x14ac:dyDescent="0.25">
      <c r="B5" s="50"/>
      <c r="D5" s="51"/>
      <c r="E5" s="50"/>
      <c r="H5" s="50"/>
      <c r="J5" s="51"/>
      <c r="K5" s="86"/>
    </row>
    <row r="6" spans="2:11" x14ac:dyDescent="0.25">
      <c r="B6" s="77" t="s">
        <v>36</v>
      </c>
      <c r="C6" s="12">
        <v>9.7500000000000003E-2</v>
      </c>
      <c r="D6" s="51"/>
      <c r="E6" s="77" t="s">
        <v>36</v>
      </c>
      <c r="F6" s="12">
        <v>9.7500000000000003E-2</v>
      </c>
      <c r="H6" s="77" t="s">
        <v>36</v>
      </c>
      <c r="I6" s="12">
        <v>9.7500000000000003E-2</v>
      </c>
      <c r="J6" s="51"/>
      <c r="K6" s="87" t="s">
        <v>285</v>
      </c>
    </row>
    <row r="7" spans="2:11" x14ac:dyDescent="0.25">
      <c r="B7" s="50"/>
      <c r="D7" s="51"/>
      <c r="E7" s="50"/>
      <c r="H7" s="185"/>
      <c r="J7" s="51"/>
      <c r="K7" s="127">
        <f>SUM(TaxTable[Tax Amount])</f>
        <v>2.5300000000000002</v>
      </c>
    </row>
    <row r="8" spans="2:11" x14ac:dyDescent="0.25">
      <c r="B8" s="78" t="s">
        <v>39</v>
      </c>
      <c r="C8" s="62" t="s">
        <v>284</v>
      </c>
      <c r="D8" s="51"/>
      <c r="E8" s="78" t="s">
        <v>39</v>
      </c>
      <c r="F8" s="62" t="s">
        <v>284</v>
      </c>
      <c r="H8" s="186" t="s">
        <v>39</v>
      </c>
      <c r="I8" s="183" t="s">
        <v>284</v>
      </c>
      <c r="J8" s="51"/>
      <c r="K8" s="86" t="str">
        <f ca="1">_xlfn.IFNA(ADDRESS(ROW(K7),COLUMN(K7),4)&amp;": "&amp;_xlfn.FORMULATEXT(K7),"")</f>
        <v>K7: =SUM(TaxTable[Tax Amount])</v>
      </c>
    </row>
    <row r="9" spans="2:11" x14ac:dyDescent="0.25">
      <c r="B9" s="79">
        <v>4.49</v>
      </c>
      <c r="C9" s="63">
        <f>ROUND(B9*$C$6,2)</f>
        <v>0.44</v>
      </c>
      <c r="D9" s="51"/>
      <c r="E9" s="79">
        <v>4.49</v>
      </c>
      <c r="F9" s="63" cm="1">
        <f t="array" ref="F9:F13">ROUND(E9:E13*F6,2)</f>
        <v>0.44</v>
      </c>
      <c r="H9" s="12">
        <v>4.49</v>
      </c>
      <c r="I9" s="182">
        <f>ROUND(TaxTable[[#This Row],[Sales]]*$I$6,2)</f>
        <v>0.44</v>
      </c>
      <c r="J9" s="51"/>
      <c r="K9" s="86"/>
    </row>
    <row r="10" spans="2:11" ht="15.75" thickBot="1" x14ac:dyDescent="0.3">
      <c r="B10" s="79">
        <v>3.43</v>
      </c>
      <c r="C10" s="63">
        <f t="shared" ref="C10:C13" si="0">ROUND(B10*$C$6,2)</f>
        <v>0.33</v>
      </c>
      <c r="D10" s="51"/>
      <c r="E10" s="79">
        <v>3.43</v>
      </c>
      <c r="F10" s="63">
        <v>0.33</v>
      </c>
      <c r="H10" s="12">
        <v>3.43</v>
      </c>
      <c r="I10" s="182">
        <f>ROUND(TaxTable[[#This Row],[Sales]]*$I$6,2)</f>
        <v>0.33</v>
      </c>
      <c r="J10" s="51"/>
      <c r="K10" s="91"/>
    </row>
    <row r="11" spans="2:11" x14ac:dyDescent="0.25">
      <c r="B11" s="79">
        <v>4.9800000000000004</v>
      </c>
      <c r="C11" s="63">
        <f t="shared" si="0"/>
        <v>0.49</v>
      </c>
      <c r="D11" s="51"/>
      <c r="E11" s="79">
        <v>4.9800000000000004</v>
      </c>
      <c r="F11" s="63">
        <v>0.49</v>
      </c>
      <c r="H11" s="12">
        <v>4.9800000000000004</v>
      </c>
      <c r="I11" s="182">
        <f>ROUND(TaxTable[[#This Row],[Sales]]*$I$6,2)</f>
        <v>0.49</v>
      </c>
      <c r="J11" s="51"/>
      <c r="K11" s="89" t="s">
        <v>400</v>
      </c>
    </row>
    <row r="12" spans="2:11" x14ac:dyDescent="0.25">
      <c r="B12" s="79">
        <v>4.49</v>
      </c>
      <c r="C12" s="63">
        <f t="shared" si="0"/>
        <v>0.44</v>
      </c>
      <c r="D12" s="51"/>
      <c r="E12" s="79">
        <v>4.49</v>
      </c>
      <c r="F12" s="63">
        <v>0.44</v>
      </c>
      <c r="H12" s="12">
        <v>4.49</v>
      </c>
      <c r="I12" s="182">
        <f>ROUND(TaxTable[[#This Row],[Sales]]*$I$6,2)</f>
        <v>0.44</v>
      </c>
      <c r="J12" s="51"/>
      <c r="K12" s="86"/>
    </row>
    <row r="13" spans="2:11" x14ac:dyDescent="0.25">
      <c r="B13" s="79">
        <v>3.44</v>
      </c>
      <c r="C13" s="63">
        <f t="shared" si="0"/>
        <v>0.34</v>
      </c>
      <c r="D13" s="51"/>
      <c r="E13" s="79">
        <v>3.44</v>
      </c>
      <c r="F13" s="63">
        <v>0.34</v>
      </c>
      <c r="H13" s="187">
        <v>3.44</v>
      </c>
      <c r="I13" s="184">
        <f>ROUND(TaxTable[[#This Row],[Sales]]*$I$6,2)</f>
        <v>0.34</v>
      </c>
      <c r="J13" s="51"/>
      <c r="K13" s="87" t="s">
        <v>286</v>
      </c>
    </row>
    <row r="14" spans="2:11" x14ac:dyDescent="0.25">
      <c r="B14" s="80" t="s">
        <v>174</v>
      </c>
      <c r="C14" s="63">
        <f>SUM(C9:C13)</f>
        <v>2.04</v>
      </c>
      <c r="D14" s="51"/>
      <c r="E14" s="80" t="s">
        <v>174</v>
      </c>
      <c r="F14" s="64">
        <f>SUM(_xlfn.ANCHORARRAY(F9))</f>
        <v>2.04</v>
      </c>
      <c r="H14" s="187">
        <v>5</v>
      </c>
      <c r="I14" s="184">
        <f>ROUND(TaxTable[[#This Row],[Sales]]*$I$6,2)</f>
        <v>0.49</v>
      </c>
      <c r="J14" s="51"/>
      <c r="K14" s="88" cm="1">
        <f t="array" ref="K14">SUM(ROUND(E9:E13*F6,2))</f>
        <v>2.04</v>
      </c>
    </row>
    <row r="15" spans="2:11" x14ac:dyDescent="0.25">
      <c r="B15" s="50"/>
      <c r="D15" s="51"/>
      <c r="E15" s="50"/>
      <c r="H15" s="187" t="s">
        <v>174</v>
      </c>
      <c r="I15" s="184">
        <f>SUBTOTAL(109,TaxTable[Tax Amount])</f>
        <v>2.5300000000000002</v>
      </c>
      <c r="J15" s="51"/>
      <c r="K15" s="86" t="str">
        <f ca="1">_xlfn.IFNA(ADDRESS(ROW(K14),COLUMN(K14),4)&amp;": "&amp;_xlfn.FORMULATEXT(K14),"")</f>
        <v>K14: =SUM(ROUND(E9:E13*F6,2))</v>
      </c>
    </row>
    <row r="16" spans="2:11" x14ac:dyDescent="0.25">
      <c r="B16" s="50"/>
      <c r="D16" s="51"/>
      <c r="E16" s="50"/>
      <c r="H16" s="50"/>
      <c r="J16" s="51"/>
      <c r="K16" s="86"/>
    </row>
    <row r="17" spans="2:11" x14ac:dyDescent="0.25">
      <c r="B17" s="50" t="str">
        <f ca="1">_xlfn.IFNA(ADDRESS(ROW(C9),COLUMN(C9),4)&amp;": "&amp;_xlfn.FORMULATEXT(C9),"")</f>
        <v>C9: =ROUND(B9*$C$6,2)</v>
      </c>
      <c r="D17" s="51"/>
      <c r="E17" s="50" t="str">
        <f ca="1">_xlfn.IFNA(ADDRESS(ROW(F9),COLUMN(F9),4)&amp;": "&amp;_xlfn.FORMULATEXT(F9),"")</f>
        <v>F9: =ROUND(E9:E13*F6,2)</v>
      </c>
      <c r="H17" s="50" t="str">
        <f ca="1">_xlfn.IFNA(ADDRESS(ROW(I9),COLUMN(I9),4)&amp;": "&amp;_xlfn.FORMULATEXT(I9),"")</f>
        <v>I9: =ROUND([@Sales]*$I$6,2)</v>
      </c>
      <c r="J17" s="51"/>
      <c r="K17" s="90" t="s">
        <v>336</v>
      </c>
    </row>
    <row r="18" spans="2:11" ht="30" x14ac:dyDescent="0.25">
      <c r="B18" s="50" t="str">
        <f ca="1">_xlfn.IFNA(ADDRESS(ROW(C14),COLUMN(C14),4)&amp;": "&amp;_xlfn.FORMULATEXT(C14),"")</f>
        <v>C14: =SUM(C9:C13)</v>
      </c>
      <c r="D18" s="51"/>
      <c r="E18" s="50" t="str">
        <f ca="1">_xlfn.IFNA(ADDRESS(ROW(F14),COLUMN(F14),4)&amp;": "&amp;_xlfn.FORMULATEXT(F14),"")</f>
        <v>F14: =SUM(F9#)</v>
      </c>
      <c r="H18" s="50" t="str">
        <f ca="1">_xlfn.IFNA(ADDRESS(ROW(I10),COLUMN(I10),4)&amp;": "&amp;_xlfn.FORMULATEXT(I10),"")</f>
        <v>I10: =ROUND([@Sales]*$I$6,2)</v>
      </c>
      <c r="J18" s="51"/>
      <c r="K18" s="90" t="s">
        <v>337</v>
      </c>
    </row>
    <row r="19" spans="2:11" x14ac:dyDescent="0.25">
      <c r="B19" s="50"/>
      <c r="D19" s="51"/>
      <c r="E19" s="50"/>
      <c r="H19" s="50"/>
      <c r="J19" s="51"/>
      <c r="K19" s="88">
        <f>ROUND(SUM(E9:E13)*F6,2)</f>
        <v>2.0299999999999998</v>
      </c>
    </row>
    <row r="20" spans="2:11" x14ac:dyDescent="0.25">
      <c r="B20" s="81" t="s">
        <v>333</v>
      </c>
      <c r="D20" s="51"/>
      <c r="E20" s="81" t="s">
        <v>327</v>
      </c>
      <c r="H20" s="81" t="s">
        <v>384</v>
      </c>
      <c r="J20" s="51"/>
      <c r="K20" s="86" t="str">
        <f ca="1">_xlfn.IFNA(ADDRESS(ROW(K19),COLUMN(K19),4)&amp;": "&amp;_xlfn.FORMULATEXT(K19),"")</f>
        <v>K19: =ROUND(SUM(E9:E13)*F6,2)</v>
      </c>
    </row>
    <row r="21" spans="2:11" x14ac:dyDescent="0.25">
      <c r="B21" s="50" t="s">
        <v>287</v>
      </c>
      <c r="D21" s="51"/>
      <c r="E21" s="50" t="s">
        <v>332</v>
      </c>
      <c r="H21" s="50" t="s">
        <v>288</v>
      </c>
      <c r="J21" s="51"/>
      <c r="K21" s="86"/>
    </row>
    <row r="22" spans="2:11" x14ac:dyDescent="0.25">
      <c r="B22" s="50" t="s">
        <v>289</v>
      </c>
      <c r="D22" s="51"/>
      <c r="E22" s="50" t="s">
        <v>326</v>
      </c>
      <c r="H22" s="50" t="s">
        <v>290</v>
      </c>
      <c r="J22" s="51"/>
      <c r="K22" s="86"/>
    </row>
    <row r="23" spans="2:11" x14ac:dyDescent="0.25">
      <c r="B23" s="50" t="s">
        <v>291</v>
      </c>
      <c r="D23" s="51"/>
      <c r="E23" s="50" t="s">
        <v>292</v>
      </c>
      <c r="H23" s="50" t="s">
        <v>293</v>
      </c>
      <c r="J23" s="51"/>
      <c r="K23" s="86"/>
    </row>
    <row r="24" spans="2:11" ht="15.75" thickBot="1" x14ac:dyDescent="0.3">
      <c r="B24" s="82"/>
      <c r="C24" s="83"/>
      <c r="D24" s="84"/>
      <c r="E24" s="82" t="s">
        <v>294</v>
      </c>
      <c r="F24" s="83"/>
      <c r="G24" s="83"/>
      <c r="H24" s="82"/>
      <c r="I24" s="83"/>
      <c r="J24" s="84"/>
      <c r="K24" s="91"/>
    </row>
  </sheetData>
  <pageMargins left="0.7" right="0.7" top="0.75" bottom="0.75" header="0.3" footer="0.3"/>
  <pageSetup orientation="portrait" r:id="rId1"/>
  <drawing r:id="rId2"/>
  <tableParts count="1">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C2203-7BCD-4FAA-A600-BB9F304060D2}">
  <sheetPr>
    <tabColor rgb="FF0000FF"/>
  </sheetPr>
  <dimension ref="B2:N25"/>
  <sheetViews>
    <sheetView zoomScaleNormal="100" workbookViewId="0">
      <selection activeCell="M6" sqref="M6"/>
    </sheetView>
  </sheetViews>
  <sheetFormatPr defaultRowHeight="15" x14ac:dyDescent="0.25"/>
  <cols>
    <col min="1" max="1" width="2.85546875" customWidth="1"/>
    <col min="2" max="2" width="7" bestFit="1" customWidth="1"/>
    <col min="3" max="3" width="21.7109375" customWidth="1"/>
  </cols>
  <sheetData>
    <row r="2" spans="2:10" x14ac:dyDescent="0.25">
      <c r="C2" t="s">
        <v>550</v>
      </c>
    </row>
    <row r="4" spans="2:10" x14ac:dyDescent="0.25">
      <c r="D4" s="3" t="s">
        <v>551</v>
      </c>
      <c r="E4" s="3" t="s">
        <v>552</v>
      </c>
      <c r="F4" s="3" t="s">
        <v>553</v>
      </c>
      <c r="G4" s="3" t="s">
        <v>554</v>
      </c>
      <c r="H4" s="3" t="s">
        <v>555</v>
      </c>
      <c r="I4" s="3" t="s">
        <v>556</v>
      </c>
      <c r="J4" s="3" t="s">
        <v>174</v>
      </c>
    </row>
    <row r="5" spans="2:10" x14ac:dyDescent="0.25">
      <c r="C5" s="137" t="s">
        <v>42</v>
      </c>
      <c r="D5" s="55">
        <v>21730</v>
      </c>
      <c r="E5" s="55">
        <v>21668</v>
      </c>
      <c r="F5" s="55">
        <v>27376</v>
      </c>
      <c r="G5" s="55">
        <v>29647</v>
      </c>
      <c r="H5" s="55">
        <v>30163</v>
      </c>
      <c r="I5" s="55">
        <v>35269</v>
      </c>
      <c r="J5" s="138">
        <f>SUM(D5:I5)</f>
        <v>165853</v>
      </c>
    </row>
    <row r="6" spans="2:10" ht="30" x14ac:dyDescent="0.25">
      <c r="C6" s="139" t="s">
        <v>557</v>
      </c>
      <c r="D6" s="140"/>
      <c r="E6" s="140"/>
      <c r="F6" s="140"/>
      <c r="G6" s="140"/>
      <c r="H6" s="140"/>
      <c r="I6" s="140"/>
      <c r="J6" s="140"/>
    </row>
    <row r="7" spans="2:10" x14ac:dyDescent="0.25">
      <c r="B7" s="12">
        <v>0.375</v>
      </c>
      <c r="C7" s="141" t="s">
        <v>558</v>
      </c>
      <c r="D7" s="142" cm="1">
        <f t="array" ref="D7:I19">ROUND(D5:I5*B7:B19,2)</f>
        <v>8148.75</v>
      </c>
      <c r="E7" s="142">
        <v>8125.5</v>
      </c>
      <c r="F7" s="142">
        <v>10266</v>
      </c>
      <c r="G7" s="142">
        <v>11117.63</v>
      </c>
      <c r="H7" s="142">
        <v>11311.13</v>
      </c>
      <c r="I7" s="142">
        <v>13225.88</v>
      </c>
      <c r="J7" s="138">
        <f t="shared" ref="J7:J20" si="0">SUM(D7:I7)</f>
        <v>62194.889999999992</v>
      </c>
    </row>
    <row r="8" spans="2:10" x14ac:dyDescent="0.25">
      <c r="B8" s="12">
        <v>0.13500000000000001</v>
      </c>
      <c r="C8" s="141" t="s">
        <v>559</v>
      </c>
      <c r="D8" s="142">
        <v>2933.55</v>
      </c>
      <c r="E8" s="142">
        <v>2925.18</v>
      </c>
      <c r="F8" s="142">
        <v>3695.76</v>
      </c>
      <c r="G8" s="142">
        <v>4002.35</v>
      </c>
      <c r="H8" s="142">
        <v>4072.01</v>
      </c>
      <c r="I8" s="142">
        <v>4761.32</v>
      </c>
      <c r="J8" s="138">
        <f t="shared" si="0"/>
        <v>22390.17</v>
      </c>
    </row>
    <row r="9" spans="2:10" x14ac:dyDescent="0.25">
      <c r="B9" s="12">
        <v>7.4999999999999997E-2</v>
      </c>
      <c r="C9" s="141" t="s">
        <v>560</v>
      </c>
      <c r="D9" s="142">
        <v>1629.75</v>
      </c>
      <c r="E9" s="142">
        <v>1625.1</v>
      </c>
      <c r="F9" s="142">
        <v>2053.1999999999998</v>
      </c>
      <c r="G9" s="142">
        <v>2223.5300000000002</v>
      </c>
      <c r="H9" s="142">
        <v>2262.23</v>
      </c>
      <c r="I9" s="142">
        <v>2645.18</v>
      </c>
      <c r="J9" s="138">
        <f t="shared" si="0"/>
        <v>12438.99</v>
      </c>
    </row>
    <row r="10" spans="2:10" x14ac:dyDescent="0.25">
      <c r="B10" s="12">
        <v>1.4999999999999999E-2</v>
      </c>
      <c r="C10" s="141" t="s">
        <v>561</v>
      </c>
      <c r="D10" s="142">
        <v>325.95</v>
      </c>
      <c r="E10" s="142">
        <v>325.02</v>
      </c>
      <c r="F10" s="142">
        <v>410.64</v>
      </c>
      <c r="G10" s="142">
        <v>444.71</v>
      </c>
      <c r="H10" s="142">
        <v>452.45</v>
      </c>
      <c r="I10" s="142">
        <v>529.04</v>
      </c>
      <c r="J10" s="138">
        <f t="shared" si="0"/>
        <v>2487.8100000000004</v>
      </c>
    </row>
    <row r="11" spans="2:10" x14ac:dyDescent="0.25">
      <c r="B11" s="12">
        <v>4.7500000000000001E-2</v>
      </c>
      <c r="C11" s="141" t="s">
        <v>562</v>
      </c>
      <c r="D11" s="142">
        <v>1032.18</v>
      </c>
      <c r="E11" s="142">
        <v>1029.23</v>
      </c>
      <c r="F11" s="142">
        <v>1300.3599999999999</v>
      </c>
      <c r="G11" s="142">
        <v>1408.23</v>
      </c>
      <c r="H11" s="142">
        <v>1432.74</v>
      </c>
      <c r="I11" s="142">
        <v>1675.28</v>
      </c>
      <c r="J11" s="138">
        <f t="shared" si="0"/>
        <v>7878.0199999999995</v>
      </c>
    </row>
    <row r="12" spans="2:10" x14ac:dyDescent="0.25">
      <c r="B12" s="12">
        <v>3.5000000000000003E-2</v>
      </c>
      <c r="C12" s="141" t="s">
        <v>563</v>
      </c>
      <c r="D12" s="142">
        <v>760.55</v>
      </c>
      <c r="E12" s="142">
        <v>758.38</v>
      </c>
      <c r="F12" s="142">
        <v>958.16</v>
      </c>
      <c r="G12" s="142">
        <v>1037.6500000000001</v>
      </c>
      <c r="H12" s="142">
        <v>1055.71</v>
      </c>
      <c r="I12" s="142">
        <v>1234.42</v>
      </c>
      <c r="J12" s="138">
        <f t="shared" si="0"/>
        <v>5804.87</v>
      </c>
    </row>
    <row r="13" spans="2:10" x14ac:dyDescent="0.25">
      <c r="B13" s="12">
        <v>3.7499999999999999E-2</v>
      </c>
      <c r="C13" s="141" t="s">
        <v>564</v>
      </c>
      <c r="D13" s="142">
        <v>814.88</v>
      </c>
      <c r="E13" s="142">
        <v>812.55</v>
      </c>
      <c r="F13" s="142">
        <v>1026.5999999999999</v>
      </c>
      <c r="G13" s="142">
        <v>1111.76</v>
      </c>
      <c r="H13" s="142">
        <v>1131.1099999999999</v>
      </c>
      <c r="I13" s="142">
        <v>1322.59</v>
      </c>
      <c r="J13" s="138">
        <f t="shared" si="0"/>
        <v>6219.49</v>
      </c>
    </row>
    <row r="14" spans="2:10" x14ac:dyDescent="0.25">
      <c r="B14" s="12">
        <v>2.5000000000000001E-2</v>
      </c>
      <c r="C14" s="141" t="s">
        <v>565</v>
      </c>
      <c r="D14" s="142">
        <v>543.25</v>
      </c>
      <c r="E14" s="142">
        <v>541.70000000000005</v>
      </c>
      <c r="F14" s="142">
        <v>684.4</v>
      </c>
      <c r="G14" s="142">
        <v>741.18</v>
      </c>
      <c r="H14" s="142">
        <v>754.08</v>
      </c>
      <c r="I14" s="142">
        <v>881.73</v>
      </c>
      <c r="J14" s="138">
        <f t="shared" si="0"/>
        <v>4146.34</v>
      </c>
    </row>
    <row r="15" spans="2:10" x14ac:dyDescent="0.25">
      <c r="B15" s="12">
        <v>1.4999999999999999E-2</v>
      </c>
      <c r="C15" s="141" t="s">
        <v>566</v>
      </c>
      <c r="D15" s="142">
        <v>325.95</v>
      </c>
      <c r="E15" s="142">
        <v>325.02</v>
      </c>
      <c r="F15" s="142">
        <v>410.64</v>
      </c>
      <c r="G15" s="142">
        <v>444.71</v>
      </c>
      <c r="H15" s="142">
        <v>452.45</v>
      </c>
      <c r="I15" s="142">
        <v>529.04</v>
      </c>
      <c r="J15" s="138">
        <f t="shared" si="0"/>
        <v>2487.8100000000004</v>
      </c>
    </row>
    <row r="16" spans="2:10" x14ac:dyDescent="0.25">
      <c r="B16" s="12">
        <v>0.01</v>
      </c>
      <c r="C16" s="141" t="s">
        <v>567</v>
      </c>
      <c r="D16" s="142">
        <v>217.3</v>
      </c>
      <c r="E16" s="142">
        <v>216.68</v>
      </c>
      <c r="F16" s="142">
        <v>273.76</v>
      </c>
      <c r="G16" s="142">
        <v>296.47000000000003</v>
      </c>
      <c r="H16" s="142">
        <v>301.63</v>
      </c>
      <c r="I16" s="142">
        <v>352.69</v>
      </c>
      <c r="J16" s="138">
        <f t="shared" si="0"/>
        <v>1658.5300000000002</v>
      </c>
    </row>
    <row r="17" spans="2:14" x14ac:dyDescent="0.25">
      <c r="B17" s="12">
        <v>0.01</v>
      </c>
      <c r="C17" s="141" t="s">
        <v>568</v>
      </c>
      <c r="D17" s="142">
        <v>217.3</v>
      </c>
      <c r="E17" s="142">
        <v>216.68</v>
      </c>
      <c r="F17" s="142">
        <v>273.76</v>
      </c>
      <c r="G17" s="142">
        <v>296.47000000000003</v>
      </c>
      <c r="H17" s="142">
        <v>301.63</v>
      </c>
      <c r="I17" s="142">
        <v>352.69</v>
      </c>
      <c r="J17" s="138">
        <f t="shared" si="0"/>
        <v>1658.5300000000002</v>
      </c>
    </row>
    <row r="18" spans="2:14" x14ac:dyDescent="0.25">
      <c r="B18" s="12">
        <v>2.5000000000000001E-2</v>
      </c>
      <c r="C18" s="141" t="s">
        <v>569</v>
      </c>
      <c r="D18" s="142">
        <v>543.25</v>
      </c>
      <c r="E18" s="142">
        <v>541.70000000000005</v>
      </c>
      <c r="F18" s="142">
        <v>684.4</v>
      </c>
      <c r="G18" s="142">
        <v>741.18</v>
      </c>
      <c r="H18" s="142">
        <v>754.08</v>
      </c>
      <c r="I18" s="142">
        <v>881.73</v>
      </c>
      <c r="J18" s="138">
        <f t="shared" si="0"/>
        <v>4146.34</v>
      </c>
    </row>
    <row r="19" spans="2:14" x14ac:dyDescent="0.25">
      <c r="B19" s="12">
        <v>8.7499999999999994E-2</v>
      </c>
      <c r="C19" s="141" t="s">
        <v>570</v>
      </c>
      <c r="D19" s="142">
        <v>1901.38</v>
      </c>
      <c r="E19" s="142">
        <v>1895.95</v>
      </c>
      <c r="F19" s="142">
        <v>2395.4</v>
      </c>
      <c r="G19" s="142">
        <v>2594.11</v>
      </c>
      <c r="H19" s="142">
        <v>2639.26</v>
      </c>
      <c r="I19" s="142">
        <v>3086.04</v>
      </c>
      <c r="J19" s="138">
        <f t="shared" si="0"/>
        <v>14512.14</v>
      </c>
    </row>
    <row r="20" spans="2:14" x14ac:dyDescent="0.25">
      <c r="C20" s="141" t="s">
        <v>571</v>
      </c>
      <c r="D20" s="143">
        <f t="shared" ref="D20:I20" si="1">SUM(D7:D19)</f>
        <v>19394.039999999997</v>
      </c>
      <c r="E20" s="143">
        <f t="shared" si="1"/>
        <v>19338.690000000002</v>
      </c>
      <c r="F20" s="143">
        <f t="shared" si="1"/>
        <v>24433.079999999998</v>
      </c>
      <c r="G20" s="143">
        <f t="shared" si="1"/>
        <v>26459.98</v>
      </c>
      <c r="H20" s="143">
        <f t="shared" si="1"/>
        <v>26920.510000000009</v>
      </c>
      <c r="I20" s="143">
        <f t="shared" si="1"/>
        <v>31477.629999999994</v>
      </c>
      <c r="J20" s="143">
        <f t="shared" si="0"/>
        <v>148023.93</v>
      </c>
    </row>
    <row r="21" spans="2:14" ht="17.25" x14ac:dyDescent="0.4">
      <c r="C21" s="145" t="s">
        <v>572</v>
      </c>
      <c r="D21" s="144" cm="1">
        <f t="array" ref="D21:J21">D5:J5-D20:J20</f>
        <v>2335.9600000000028</v>
      </c>
      <c r="E21" s="144">
        <v>2329.3099999999977</v>
      </c>
      <c r="F21" s="144">
        <v>2942.9200000000019</v>
      </c>
      <c r="G21" s="144">
        <v>3187.0200000000004</v>
      </c>
      <c r="H21" s="144">
        <v>3242.4899999999907</v>
      </c>
      <c r="I21" s="144">
        <v>3791.3700000000063</v>
      </c>
      <c r="J21" s="144">
        <v>17829.070000000007</v>
      </c>
    </row>
    <row r="23" spans="2:14" x14ac:dyDescent="0.25">
      <c r="B23" s="1" t="s">
        <v>573</v>
      </c>
    </row>
    <row r="24" spans="2:14" x14ac:dyDescent="0.25">
      <c r="B24" s="141" t="s">
        <v>558</v>
      </c>
      <c r="C24" s="141" t="s">
        <v>559</v>
      </c>
      <c r="D24" s="141" t="s">
        <v>560</v>
      </c>
      <c r="E24" s="141" t="s">
        <v>561</v>
      </c>
      <c r="F24" s="141" t="s">
        <v>562</v>
      </c>
      <c r="G24" s="141" t="s">
        <v>563</v>
      </c>
      <c r="H24" s="141" t="s">
        <v>564</v>
      </c>
      <c r="I24" s="141" t="s">
        <v>565</v>
      </c>
      <c r="J24" s="141" t="s">
        <v>566</v>
      </c>
      <c r="K24" s="141" t="s">
        <v>567</v>
      </c>
      <c r="L24" s="141" t="s">
        <v>568</v>
      </c>
      <c r="M24" s="141" t="s">
        <v>569</v>
      </c>
      <c r="N24" s="141" t="s">
        <v>570</v>
      </c>
    </row>
    <row r="25" spans="2:14" x14ac:dyDescent="0.25">
      <c r="B25" s="12">
        <v>0.375</v>
      </c>
      <c r="C25" s="12">
        <v>0.13500000000000001</v>
      </c>
      <c r="D25" s="12">
        <v>7.4999999999999997E-2</v>
      </c>
      <c r="E25" s="12">
        <v>1.4999999999999999E-2</v>
      </c>
      <c r="F25" s="12">
        <v>4.7500000000000001E-2</v>
      </c>
      <c r="G25" s="12">
        <v>3.5000000000000003E-2</v>
      </c>
      <c r="H25" s="12">
        <v>3.7499999999999999E-2</v>
      </c>
      <c r="I25" s="12">
        <v>2.5000000000000001E-2</v>
      </c>
      <c r="J25" s="12">
        <v>1.4999999999999999E-2</v>
      </c>
      <c r="K25" s="12">
        <v>0.01</v>
      </c>
      <c r="L25" s="12">
        <v>0.01</v>
      </c>
      <c r="M25" s="12">
        <v>2.5000000000000001E-2</v>
      </c>
      <c r="N25" s="12">
        <v>8.7499999999999994E-2</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E2A94-08C6-4863-B6B8-18303B79B195}">
  <sheetPr>
    <tabColor rgb="FF0000FF"/>
  </sheetPr>
  <dimension ref="B1:H40"/>
  <sheetViews>
    <sheetView topLeftCell="A19" zoomScale="130" zoomScaleNormal="130" workbookViewId="0">
      <selection activeCell="C39" sqref="C39"/>
    </sheetView>
  </sheetViews>
  <sheetFormatPr defaultRowHeight="15" x14ac:dyDescent="0.25"/>
  <cols>
    <col min="1" max="1" width="1.28515625" customWidth="1"/>
    <col min="2" max="2" width="17" customWidth="1"/>
    <col min="3" max="3" width="16" customWidth="1"/>
    <col min="6" max="6" width="11" customWidth="1"/>
  </cols>
  <sheetData>
    <row r="1" spans="2:8" ht="3.4" customHeight="1" x14ac:dyDescent="0.25"/>
    <row r="2" spans="2:8" ht="18.75" x14ac:dyDescent="0.3">
      <c r="B2" s="94" t="s">
        <v>2</v>
      </c>
      <c r="C2" s="95"/>
    </row>
    <row r="3" spans="2:8" ht="30" x14ac:dyDescent="0.25">
      <c r="B3" s="62" t="s">
        <v>350</v>
      </c>
      <c r="C3" s="71" t="s">
        <v>347</v>
      </c>
    </row>
    <row r="4" spans="2:8" x14ac:dyDescent="0.25">
      <c r="B4" s="12">
        <v>43.686999999999998</v>
      </c>
      <c r="C4" s="2" cm="1">
        <f t="array" ref="C4:C5">ROUND(B4:B5,2)</f>
        <v>43.69</v>
      </c>
      <c r="D4" s="16" t="str">
        <f ca="1">_xlfn.IFNA(_xlfn.FORMULATEXT(C4),"")</f>
        <v>=ROUND(B4:B5,2)</v>
      </c>
    </row>
    <row r="5" spans="2:8" x14ac:dyDescent="0.25">
      <c r="B5" s="12">
        <v>43.683999999999997</v>
      </c>
      <c r="C5" s="2">
        <v>43.68</v>
      </c>
      <c r="D5" s="16"/>
    </row>
    <row r="6" spans="2:8" ht="3.4" customHeight="1" x14ac:dyDescent="0.25"/>
    <row r="7" spans="2:8" ht="30" x14ac:dyDescent="0.25">
      <c r="B7" s="62" t="s">
        <v>350</v>
      </c>
      <c r="C7" s="71" t="s">
        <v>348</v>
      </c>
    </row>
    <row r="8" spans="2:8" x14ac:dyDescent="0.25">
      <c r="B8" s="12">
        <v>43.686999999999998</v>
      </c>
      <c r="C8" s="2" cm="1">
        <f t="array" ref="C8:C9">ROUND(B8:B9,0)</f>
        <v>44</v>
      </c>
      <c r="D8" s="16" t="str">
        <f ca="1">_xlfn.IFNA(_xlfn.FORMULATEXT(C8),"")</f>
        <v>=ROUND(B8:B9,0)</v>
      </c>
    </row>
    <row r="9" spans="2:8" x14ac:dyDescent="0.25">
      <c r="B9" s="96">
        <v>43.49</v>
      </c>
      <c r="C9" s="2">
        <v>43</v>
      </c>
      <c r="D9" s="16"/>
    </row>
    <row r="10" spans="2:8" ht="3.4" customHeight="1" x14ac:dyDescent="0.25"/>
    <row r="11" spans="2:8" ht="30" x14ac:dyDescent="0.25">
      <c r="B11" s="62" t="s">
        <v>353</v>
      </c>
      <c r="C11" s="71" t="s">
        <v>354</v>
      </c>
    </row>
    <row r="12" spans="2:8" x14ac:dyDescent="0.25">
      <c r="B12" s="102">
        <v>0.85274000000000005</v>
      </c>
      <c r="C12" s="103">
        <f>ROUND(B12,3)</f>
        <v>0.85299999999999998</v>
      </c>
      <c r="D12" s="16" t="str">
        <f ca="1">_xlfn.IFNA(_xlfn.FORMULATEXT(C12),"")</f>
        <v>=ROUND(B12,3)</v>
      </c>
    </row>
    <row r="13" spans="2:8" ht="3.4" customHeight="1" x14ac:dyDescent="0.25"/>
    <row r="14" spans="2:8" ht="30" customHeight="1" x14ac:dyDescent="0.25">
      <c r="B14" s="191" t="str">
        <f>"Note: you must look at underlying number when deciding what position to round too (formulas do not 'see' Number Formatting). The underlying number is: "&amp;B12</f>
        <v>Note: you must look at underlying number when deciding what position to round too (formulas do not 'see' Number Formatting). The underlying number is: 0.85274</v>
      </c>
      <c r="C14" s="192"/>
      <c r="D14" s="192"/>
      <c r="E14" s="192"/>
      <c r="F14" s="192"/>
      <c r="G14" s="192"/>
      <c r="H14" s="193"/>
    </row>
    <row r="16" spans="2:8" ht="18.75" x14ac:dyDescent="0.3">
      <c r="B16" s="94" t="s">
        <v>346</v>
      </c>
      <c r="C16" s="95"/>
    </row>
    <row r="17" spans="2:6" x14ac:dyDescent="0.25">
      <c r="B17" s="62" t="s">
        <v>345</v>
      </c>
      <c r="C17" s="93">
        <v>5</v>
      </c>
    </row>
    <row r="18" spans="2:6" ht="3.4" customHeight="1" x14ac:dyDescent="0.25"/>
    <row r="19" spans="2:6" ht="30" x14ac:dyDescent="0.25">
      <c r="B19" s="62" t="s">
        <v>344</v>
      </c>
      <c r="C19" s="71" t="str">
        <f>"Rounded to nearest $"&amp;C17</f>
        <v>Rounded to nearest $5</v>
      </c>
    </row>
    <row r="20" spans="2:6" x14ac:dyDescent="0.25">
      <c r="B20" s="92">
        <v>43.686999999999998</v>
      </c>
      <c r="C20" s="2">
        <f>MROUND(B20,$C$17)</f>
        <v>45</v>
      </c>
      <c r="D20" s="16" t="str">
        <f ca="1">_xlfn.IFNA(_xlfn.FORMULATEXT(C20),"")</f>
        <v>=MROUND(B20,$C$17)</v>
      </c>
    </row>
    <row r="21" spans="2:6" x14ac:dyDescent="0.25">
      <c r="B21" s="92">
        <v>42.49</v>
      </c>
      <c r="C21" s="2">
        <f>MROUND(B21,$C$17)</f>
        <v>40</v>
      </c>
      <c r="D21" s="16" t="str">
        <f ca="1">_xlfn.IFNA(_xlfn.FORMULATEXT(C21),"")</f>
        <v>=MROUND(B21,$C$17)</v>
      </c>
    </row>
    <row r="22" spans="2:6" ht="3.4" customHeight="1" x14ac:dyDescent="0.25"/>
    <row r="23" spans="2:6" x14ac:dyDescent="0.25">
      <c r="B23" s="71" t="str">
        <f>"Nearest "&amp;C23*1440&amp;" Min"</f>
        <v>Nearest 15 Min</v>
      </c>
      <c r="C23" s="98">
        <f>15/(24*60)</f>
        <v>1.0416666666666666E-2</v>
      </c>
      <c r="D23" s="16" t="str">
        <f ca="1">_xlfn.IFNA(_xlfn.FORMULATEXT(C23),"")</f>
        <v>=15/(24*60)</v>
      </c>
    </row>
    <row r="24" spans="2:6" ht="3.4" customHeight="1" x14ac:dyDescent="0.25"/>
    <row r="25" spans="2:6" ht="45" x14ac:dyDescent="0.25">
      <c r="B25" s="62" t="s">
        <v>349</v>
      </c>
      <c r="C25" s="71" t="str">
        <f>"Rounded to nearest "&amp;TEXT(C23,"hh:mm")&amp;" min"</f>
        <v>Rounded to nearest 00:15 min</v>
      </c>
    </row>
    <row r="26" spans="2:6" x14ac:dyDescent="0.25">
      <c r="B26" s="97">
        <v>0.33750000000000002</v>
      </c>
      <c r="C26" s="99">
        <f>MROUND(B26,$C$23)</f>
        <v>0.33333333333333331</v>
      </c>
      <c r="D26" s="16" t="str">
        <f ca="1">_xlfn.IFNA(_xlfn.FORMULATEXT(C26),"")</f>
        <v>=MROUND(B26,$C$23)</v>
      </c>
    </row>
    <row r="27" spans="2:6" x14ac:dyDescent="0.25">
      <c r="B27" s="97">
        <v>0.34027777777777779</v>
      </c>
      <c r="C27" s="99">
        <f>MROUND(B27,$C$23)</f>
        <v>0.34375</v>
      </c>
      <c r="D27" s="16" t="str">
        <f ca="1">_xlfn.IFNA(_xlfn.FORMULATEXT(C27),"")</f>
        <v>=MROUND(B27,$C$23)</v>
      </c>
    </row>
    <row r="29" spans="2:6" ht="18.75" x14ac:dyDescent="0.3">
      <c r="B29" s="94" t="s">
        <v>351</v>
      </c>
      <c r="C29" s="101"/>
      <c r="D29" s="101"/>
      <c r="E29" s="101"/>
      <c r="F29" s="95"/>
    </row>
    <row r="30" spans="2:6" x14ac:dyDescent="0.25">
      <c r="B30" s="71" t="str">
        <f>"Nearest "&amp;C30*1440&amp;" Min"</f>
        <v>Nearest 15 Min</v>
      </c>
      <c r="C30" s="98">
        <f>15/(24*60)</f>
        <v>1.0416666666666666E-2</v>
      </c>
    </row>
    <row r="32" spans="2:6" ht="45" x14ac:dyDescent="0.25">
      <c r="B32" s="62" t="s">
        <v>349</v>
      </c>
      <c r="C32" s="71" t="str">
        <f>"Rounded to nearest "&amp;TEXT(C30,"hh:mm")&amp;" min"</f>
        <v>Rounded to nearest 00:15 min</v>
      </c>
    </row>
    <row r="33" spans="2:4" x14ac:dyDescent="0.25">
      <c r="B33" s="97">
        <v>0.33750000000000002</v>
      </c>
      <c r="C33" s="99" cm="1">
        <f t="array" ref="C33:C34">_xlfn.CEILING.MATH(B33:B34,C30)</f>
        <v>0.34375</v>
      </c>
      <c r="D33" s="16" t="str">
        <f ca="1">_xlfn.IFNA(_xlfn.FORMULATEXT(C33),"")</f>
        <v>=CEILING.MATH(B33:B34,C30)</v>
      </c>
    </row>
    <row r="34" spans="2:4" x14ac:dyDescent="0.25">
      <c r="B34" s="97">
        <v>0.34027777777777779</v>
      </c>
      <c r="C34" s="99">
        <v>0.34375</v>
      </c>
      <c r="D34" s="16"/>
    </row>
    <row r="36" spans="2:4" x14ac:dyDescent="0.25">
      <c r="B36" s="100" t="s">
        <v>352</v>
      </c>
      <c r="C36" s="93">
        <v>5</v>
      </c>
    </row>
    <row r="38" spans="2:4" ht="30" x14ac:dyDescent="0.25">
      <c r="B38" s="62" t="s">
        <v>344</v>
      </c>
      <c r="C38" s="71" t="str">
        <f>"Rounded down to nearest $"&amp;C36</f>
        <v>Rounded down to nearest $5</v>
      </c>
    </row>
    <row r="39" spans="2:4" x14ac:dyDescent="0.25">
      <c r="B39" s="92">
        <v>44.99</v>
      </c>
      <c r="C39" s="2" cm="1">
        <f t="array" ref="C39:C40">_xlfn.FLOOR.MATH(B39:B40,C36)</f>
        <v>40</v>
      </c>
      <c r="D39" s="16" t="str">
        <f ca="1">_xlfn.IFNA(_xlfn.FORMULATEXT(C39),"")</f>
        <v>=FLOOR.MATH(B39:B40,C36)</v>
      </c>
    </row>
    <row r="40" spans="2:4" x14ac:dyDescent="0.25">
      <c r="B40" s="92">
        <v>40.01</v>
      </c>
      <c r="C40" s="2">
        <v>40</v>
      </c>
      <c r="D40" s="16"/>
    </row>
  </sheetData>
  <mergeCells count="1">
    <mergeCell ref="B14:H14"/>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A5088-8058-46EF-92F2-028A2A686630}">
  <sheetPr>
    <tabColor rgb="FF0000FF"/>
  </sheetPr>
  <dimension ref="B1:I25"/>
  <sheetViews>
    <sheetView zoomScale="115" zoomScaleNormal="115" workbookViewId="0">
      <selection activeCell="G23" sqref="G23"/>
    </sheetView>
  </sheetViews>
  <sheetFormatPr defaultRowHeight="15" x14ac:dyDescent="0.25"/>
  <cols>
    <col min="1" max="1" width="0.85546875" customWidth="1"/>
    <col min="2" max="2" width="15" customWidth="1"/>
    <col min="3" max="3" width="16.140625" customWidth="1"/>
    <col min="4" max="4" width="10" customWidth="1"/>
    <col min="5" max="5" width="11" customWidth="1"/>
    <col min="6" max="6" width="16.28515625" customWidth="1"/>
    <col min="7" max="7" width="12.28515625" customWidth="1"/>
    <col min="8" max="8" width="6" customWidth="1"/>
    <col min="9" max="9" width="17.140625" customWidth="1"/>
    <col min="10" max="10" width="15.7109375" customWidth="1"/>
  </cols>
  <sheetData>
    <row r="1" spans="2:9" ht="4.1500000000000004" customHeight="1" x14ac:dyDescent="0.25"/>
    <row r="2" spans="2:9" x14ac:dyDescent="0.25">
      <c r="B2" t="s">
        <v>367</v>
      </c>
    </row>
    <row r="3" spans="2:9" ht="4.1500000000000004" customHeight="1" x14ac:dyDescent="0.25"/>
    <row r="4" spans="2:9" x14ac:dyDescent="0.25">
      <c r="B4" s="22" t="s">
        <v>355</v>
      </c>
      <c r="C4" s="66">
        <v>45590</v>
      </c>
      <c r="F4" t="s">
        <v>582</v>
      </c>
    </row>
    <row r="5" spans="2:9" x14ac:dyDescent="0.25">
      <c r="B5" s="22" t="s">
        <v>356</v>
      </c>
      <c r="C5" s="66">
        <v>45616</v>
      </c>
      <c r="F5" t="s">
        <v>581</v>
      </c>
    </row>
    <row r="6" spans="2:9" x14ac:dyDescent="0.25">
      <c r="B6" s="22" t="s">
        <v>357</v>
      </c>
      <c r="C6" s="2">
        <f>C5-C4</f>
        <v>26</v>
      </c>
      <c r="D6" s="16" t="str">
        <f ca="1">_xlfn.IFNA(_xlfn.FORMULATEXT(C6),"")</f>
        <v>=C5-C4</v>
      </c>
    </row>
    <row r="7" spans="2:9" ht="4.1500000000000004" customHeight="1" x14ac:dyDescent="0.25"/>
    <row r="8" spans="2:9" x14ac:dyDescent="0.25">
      <c r="B8" t="s">
        <v>368</v>
      </c>
    </row>
    <row r="9" spans="2:9" ht="4.1500000000000004" customHeight="1" x14ac:dyDescent="0.25"/>
    <row r="10" spans="2:9" x14ac:dyDescent="0.25">
      <c r="B10" s="22" t="s">
        <v>358</v>
      </c>
      <c r="C10" s="22" t="s">
        <v>359</v>
      </c>
      <c r="D10" s="22" t="s">
        <v>360</v>
      </c>
      <c r="I10" s="104" t="s">
        <v>361</v>
      </c>
    </row>
    <row r="11" spans="2:9" x14ac:dyDescent="0.25">
      <c r="B11" s="66">
        <v>45312</v>
      </c>
      <c r="C11" s="66">
        <v>45365</v>
      </c>
      <c r="D11" s="2">
        <f>NETWORKDAYS.INTL(B11,C11,7,I11:I13)</f>
        <v>38</v>
      </c>
      <c r="E11" s="16"/>
      <c r="I11" s="106">
        <v>45306</v>
      </c>
    </row>
    <row r="12" spans="2:9" x14ac:dyDescent="0.25">
      <c r="I12" s="106">
        <v>45355</v>
      </c>
    </row>
    <row r="13" spans="2:9" x14ac:dyDescent="0.25">
      <c r="I13" s="106">
        <v>45356</v>
      </c>
    </row>
    <row r="14" spans="2:9" x14ac:dyDescent="0.25">
      <c r="B14" t="s">
        <v>369</v>
      </c>
    </row>
    <row r="15" spans="2:9" ht="4.1500000000000004" customHeight="1" x14ac:dyDescent="0.25"/>
    <row r="16" spans="2:9" ht="30" x14ac:dyDescent="0.25">
      <c r="B16" s="62" t="s">
        <v>362</v>
      </c>
      <c r="C16" s="62" t="s">
        <v>363</v>
      </c>
      <c r="D16" s="62" t="s">
        <v>364</v>
      </c>
      <c r="E16" s="62" t="s">
        <v>349</v>
      </c>
      <c r="F16" s="71" t="s">
        <v>365</v>
      </c>
      <c r="G16" s="71" t="s">
        <v>366</v>
      </c>
    </row>
    <row r="17" spans="2:7" x14ac:dyDescent="0.25">
      <c r="B17" s="12">
        <v>27.55</v>
      </c>
      <c r="C17" s="97">
        <v>0.33333333333333331</v>
      </c>
      <c r="D17" s="97">
        <v>0.54513888888888884</v>
      </c>
      <c r="E17" s="105">
        <f>D17-C17</f>
        <v>0.21180555555555552</v>
      </c>
      <c r="F17" s="107">
        <f>(D17-C17)*24</f>
        <v>5.0833333333333321</v>
      </c>
      <c r="G17" s="188">
        <f>ROUND(F17*B17,2)</f>
        <v>140.05000000000001</v>
      </c>
    </row>
    <row r="18" spans="2:7" x14ac:dyDescent="0.25">
      <c r="E18" t="str">
        <f ca="1">_xlfn.IFNA(_xlfn.FORMULATEXT(E17),"")</f>
        <v>=D17-C17</v>
      </c>
      <c r="F18" t="str">
        <f t="shared" ref="F18:G18" ca="1" si="0">_xlfn.IFNA(_xlfn.FORMULATEXT(F17),"")</f>
        <v>=(D17-C17)*24</v>
      </c>
      <c r="G18" t="str">
        <f t="shared" ca="1" si="0"/>
        <v>=ROUND(F17*B17,2)</v>
      </c>
    </row>
    <row r="19" spans="2:7" ht="4.1500000000000004" customHeight="1" x14ac:dyDescent="0.25"/>
    <row r="20" spans="2:7" x14ac:dyDescent="0.25">
      <c r="B20" t="s">
        <v>370</v>
      </c>
    </row>
    <row r="21" spans="2:7" ht="4.1500000000000004" customHeight="1" x14ac:dyDescent="0.25"/>
    <row r="22" spans="2:7" ht="30" x14ac:dyDescent="0.25">
      <c r="B22" s="62" t="s">
        <v>362</v>
      </c>
      <c r="C22" s="62" t="s">
        <v>363</v>
      </c>
      <c r="D22" s="62" t="s">
        <v>364</v>
      </c>
      <c r="E22" s="62" t="s">
        <v>349</v>
      </c>
      <c r="F22" s="71" t="s">
        <v>365</v>
      </c>
      <c r="G22" s="71" t="s">
        <v>366</v>
      </c>
    </row>
    <row r="23" spans="2:7" x14ac:dyDescent="0.25">
      <c r="B23" s="12">
        <v>27.55</v>
      </c>
      <c r="C23" s="97">
        <v>0.33333333333333331</v>
      </c>
      <c r="D23" s="97">
        <v>0.54513888888888884</v>
      </c>
      <c r="E23" s="105">
        <f>_xlfn.CEILING.MATH(D23-C23,"00:15")</f>
        <v>0.21875</v>
      </c>
      <c r="F23" s="107">
        <f>E23*24</f>
        <v>5.25</v>
      </c>
      <c r="G23" s="2">
        <f>ROUND(F23*B23,2)</f>
        <v>144.63999999999999</v>
      </c>
    </row>
    <row r="24" spans="2:7" x14ac:dyDescent="0.25">
      <c r="E24" t="str">
        <f ca="1">_xlfn.IFNA(_xlfn.FORMULATEXT(E23),"")</f>
        <v>=CEILING.MATH(D23-C23,"00:15")</v>
      </c>
    </row>
    <row r="25" spans="2:7" x14ac:dyDescent="0.25">
      <c r="F25" t="str">
        <f ca="1">_xlfn.IFNA(_xlfn.FORMULATEXT(F23),"")</f>
        <v>=E23*24</v>
      </c>
      <c r="G25" t="str">
        <f ca="1">_xlfn.IFNA(_xlfn.FORMULATEXT(G23),"")</f>
        <v>=ROUND(F23*B23,2)</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CD105-3CFF-450D-894C-02922E283B24}">
  <sheetPr>
    <tabColor rgb="FF0000FF"/>
  </sheetPr>
  <dimension ref="B1:L22"/>
  <sheetViews>
    <sheetView topLeftCell="A4" zoomScale="130" zoomScaleNormal="130" workbookViewId="0">
      <selection activeCell="C10" sqref="C10"/>
    </sheetView>
  </sheetViews>
  <sheetFormatPr defaultRowHeight="15" x14ac:dyDescent="0.25"/>
  <cols>
    <col min="1" max="1" width="2.42578125" customWidth="1"/>
    <col min="3" max="3" width="11.28515625" customWidth="1"/>
    <col min="5" max="5" width="2.28515625" customWidth="1"/>
    <col min="6" max="6" width="20.85546875" customWidth="1"/>
    <col min="12" max="12" width="6.42578125" customWidth="1"/>
  </cols>
  <sheetData>
    <row r="1" spans="2:12" ht="17.45" customHeight="1" x14ac:dyDescent="0.25"/>
    <row r="2" spans="2:12" ht="17.45" customHeight="1" x14ac:dyDescent="0.25"/>
    <row r="3" spans="2:12" ht="17.45" customHeight="1" x14ac:dyDescent="0.25"/>
    <row r="8" spans="2:12" x14ac:dyDescent="0.25">
      <c r="B8" s="62" t="s">
        <v>39</v>
      </c>
      <c r="C8" s="62" t="s">
        <v>284</v>
      </c>
    </row>
    <row r="9" spans="2:12" x14ac:dyDescent="0.25">
      <c r="B9" s="12">
        <v>4.49</v>
      </c>
      <c r="C9" s="2"/>
    </row>
    <row r="10" spans="2:12" x14ac:dyDescent="0.25">
      <c r="B10" s="12">
        <v>3.43</v>
      </c>
      <c r="C10" s="2"/>
    </row>
    <row r="14" spans="2:12" ht="15.75" thickBot="1" x14ac:dyDescent="0.3"/>
    <row r="15" spans="2:12" x14ac:dyDescent="0.25">
      <c r="F15" s="46" t="s">
        <v>202</v>
      </c>
      <c r="G15" s="47"/>
      <c r="H15" s="48"/>
      <c r="I15" s="48"/>
      <c r="J15" s="48"/>
      <c r="K15" s="48"/>
      <c r="L15" s="49"/>
    </row>
    <row r="16" spans="2:12" x14ac:dyDescent="0.25">
      <c r="F16" s="50" t="s">
        <v>203</v>
      </c>
      <c r="L16" s="51"/>
    </row>
    <row r="17" spans="6:12" x14ac:dyDescent="0.25">
      <c r="F17" s="50" t="s">
        <v>204</v>
      </c>
      <c r="L17" s="51"/>
    </row>
    <row r="18" spans="6:12" x14ac:dyDescent="0.25">
      <c r="F18" s="50" t="s">
        <v>205</v>
      </c>
      <c r="L18" s="51"/>
    </row>
    <row r="19" spans="6:12" ht="58.5" customHeight="1" x14ac:dyDescent="0.25">
      <c r="F19" s="52"/>
      <c r="G19" s="194" t="s">
        <v>206</v>
      </c>
      <c r="H19" s="194"/>
      <c r="I19" s="194"/>
      <c r="J19" s="194"/>
      <c r="K19" s="194"/>
      <c r="L19" s="194"/>
    </row>
    <row r="20" spans="6:12" ht="58.5" customHeight="1" x14ac:dyDescent="0.25">
      <c r="F20" s="52"/>
      <c r="G20" s="194" t="s">
        <v>207</v>
      </c>
      <c r="H20" s="194"/>
      <c r="I20" s="194"/>
      <c r="J20" s="194"/>
      <c r="K20" s="194"/>
      <c r="L20" s="194"/>
    </row>
    <row r="21" spans="6:12" ht="58.5" customHeight="1" x14ac:dyDescent="0.25">
      <c r="F21" s="52"/>
      <c r="G21" s="194" t="s">
        <v>208</v>
      </c>
      <c r="H21" s="194"/>
      <c r="I21" s="194"/>
      <c r="J21" s="194"/>
      <c r="K21" s="194"/>
      <c r="L21" s="194"/>
    </row>
    <row r="22" spans="6:12" ht="58.5" customHeight="1" thickBot="1" x14ac:dyDescent="0.3">
      <c r="F22" s="53"/>
      <c r="G22" s="194" t="s">
        <v>209</v>
      </c>
      <c r="H22" s="194"/>
      <c r="I22" s="194"/>
      <c r="J22" s="194"/>
      <c r="K22" s="194"/>
      <c r="L22" s="194"/>
    </row>
  </sheetData>
  <mergeCells count="4">
    <mergeCell ref="G19:L19"/>
    <mergeCell ref="G20:L20"/>
    <mergeCell ref="G21:L21"/>
    <mergeCell ref="G22:L22"/>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04F2A-0CD6-4D15-B560-88DFDF4859DC}">
  <sheetPr>
    <tabColor rgb="FF0000FF"/>
  </sheetPr>
  <dimension ref="B1:L23"/>
  <sheetViews>
    <sheetView showGridLines="0" topLeftCell="A2" zoomScale="110" zoomScaleNormal="110" workbookViewId="0">
      <selection activeCell="F15" sqref="F15"/>
    </sheetView>
  </sheetViews>
  <sheetFormatPr defaultRowHeight="15" x14ac:dyDescent="0.25"/>
  <cols>
    <col min="1" max="1" width="1.140625" customWidth="1"/>
    <col min="2" max="2" width="28.7109375" customWidth="1"/>
    <col min="3" max="3" width="11.7109375" customWidth="1"/>
    <col min="4" max="4" width="10.7109375" customWidth="1"/>
    <col min="5" max="5" width="22.28515625" customWidth="1"/>
    <col min="6" max="6" width="9" customWidth="1"/>
    <col min="7" max="7" width="41.140625" customWidth="1"/>
    <col min="8" max="8" width="1.140625" customWidth="1"/>
    <col min="9" max="9" width="7" customWidth="1"/>
    <col min="10" max="10" width="8.28515625" bestFit="1" customWidth="1"/>
    <col min="11" max="11" width="7.140625" bestFit="1" customWidth="1"/>
    <col min="12" max="12" width="7.5703125" bestFit="1" customWidth="1"/>
    <col min="14" max="14" width="10.7109375" customWidth="1"/>
    <col min="15" max="15" width="9.5703125" customWidth="1"/>
  </cols>
  <sheetData>
    <row r="1" spans="2:12" ht="5.45" customHeight="1" x14ac:dyDescent="0.25"/>
    <row r="2" spans="2:12" x14ac:dyDescent="0.25">
      <c r="B2" s="22" t="s">
        <v>412</v>
      </c>
      <c r="C2" s="22" t="s">
        <v>421</v>
      </c>
      <c r="D2" s="22" t="s">
        <v>422</v>
      </c>
      <c r="E2" s="22" t="s">
        <v>425</v>
      </c>
      <c r="F2" s="22" t="s">
        <v>423</v>
      </c>
      <c r="G2" s="22" t="s">
        <v>424</v>
      </c>
      <c r="I2" s="62" t="s">
        <v>299</v>
      </c>
      <c r="J2" s="62" t="s">
        <v>401</v>
      </c>
      <c r="K2" s="62" t="s">
        <v>38</v>
      </c>
      <c r="L2" s="62" t="s">
        <v>350</v>
      </c>
    </row>
    <row r="3" spans="2:12" x14ac:dyDescent="0.25">
      <c r="B3" s="116" t="s">
        <v>408</v>
      </c>
      <c r="C3" s="12" t="s">
        <v>40</v>
      </c>
      <c r="D3" s="12"/>
      <c r="E3" s="12" t="s">
        <v>426</v>
      </c>
      <c r="F3" s="2">
        <f>AVERAGEIFS(L3:L23,K3:K23,C3)</f>
        <v>533.33333333333337</v>
      </c>
      <c r="G3" s="12" t="str">
        <f t="shared" ref="G3:G6" ca="1" si="0">_xlfn.IFNA(_xlfn.FORMULATEXT(F3),"")</f>
        <v>=AVERAGEIFS(L3:L23,K3:K23,C3)</v>
      </c>
      <c r="I3" s="114">
        <v>45658</v>
      </c>
      <c r="J3" s="12" t="s">
        <v>402</v>
      </c>
      <c r="K3" s="12" t="s">
        <v>40</v>
      </c>
      <c r="L3" s="12">
        <v>100</v>
      </c>
    </row>
    <row r="4" spans="2:12" ht="30" x14ac:dyDescent="0.25">
      <c r="B4" s="117" t="s">
        <v>439</v>
      </c>
      <c r="C4" s="12" t="s">
        <v>427</v>
      </c>
      <c r="D4" s="12"/>
      <c r="E4" s="12" t="s">
        <v>407</v>
      </c>
      <c r="F4" s="2">
        <f>COUNTIFS(J3:J23,C4)</f>
        <v>15</v>
      </c>
      <c r="G4" s="12" t="str">
        <f t="shared" ca="1" si="0"/>
        <v>=COUNTIFS(J3:J23,C4)</v>
      </c>
      <c r="I4" s="114">
        <v>45658</v>
      </c>
      <c r="J4" s="12" t="s">
        <v>403</v>
      </c>
      <c r="K4" s="12" t="s">
        <v>316</v>
      </c>
      <c r="L4" s="12">
        <v>200</v>
      </c>
    </row>
    <row r="5" spans="2:12" ht="45" x14ac:dyDescent="0.25">
      <c r="B5" s="117" t="s">
        <v>440</v>
      </c>
      <c r="C5" s="12" t="s">
        <v>402</v>
      </c>
      <c r="D5" s="12" t="s">
        <v>403</v>
      </c>
      <c r="E5" s="12" t="s">
        <v>428</v>
      </c>
      <c r="F5" s="2" cm="1">
        <f t="array" ref="F5">SUM(SUMIFS(L3:L23,J3:J23,C5:D5))</f>
        <v>4300</v>
      </c>
      <c r="G5" s="12" t="str">
        <f ca="1">_xlfn.IFNA(_xlfn.FORMULATEXT(F5),"")</f>
        <v>=SUM(SUMIFS(L3:L23,J3:J23,C5:D5))</v>
      </c>
      <c r="I5" s="114">
        <v>45660</v>
      </c>
      <c r="J5" s="12" t="s">
        <v>404</v>
      </c>
      <c r="K5" s="12" t="s">
        <v>316</v>
      </c>
      <c r="L5" s="12">
        <v>900</v>
      </c>
    </row>
    <row r="6" spans="2:12" ht="45" x14ac:dyDescent="0.25">
      <c r="B6" s="117" t="s">
        <v>441</v>
      </c>
      <c r="C6" s="12" t="s">
        <v>404</v>
      </c>
      <c r="D6" s="12" t="s">
        <v>40</v>
      </c>
      <c r="E6" s="12" t="s">
        <v>429</v>
      </c>
      <c r="F6" s="2" cm="1">
        <f t="array" ref="F6">SUM(IF((C6=J3:J23)+(D6=K3:K23),1))</f>
        <v>7</v>
      </c>
      <c r="G6" s="12" t="str">
        <f t="shared" ca="1" si="0"/>
        <v>=SUM(IF((C6=J3:J23)+(D6=K3:K23),1))</v>
      </c>
      <c r="I6" s="114">
        <v>45659</v>
      </c>
      <c r="J6" s="12" t="s">
        <v>237</v>
      </c>
      <c r="K6" s="12" t="s">
        <v>316</v>
      </c>
      <c r="L6" s="12">
        <v>100</v>
      </c>
    </row>
    <row r="7" spans="2:12" ht="30" x14ac:dyDescent="0.25">
      <c r="B7" s="116" t="s">
        <v>420</v>
      </c>
      <c r="C7" s="12" t="s">
        <v>404</v>
      </c>
      <c r="D7" s="12">
        <v>700</v>
      </c>
      <c r="E7" s="23" t="str">
        <f>"Count "&amp;C7&amp;" Sales"&amp;CHAR(10)&amp;"Bigger Than "&amp;D7</f>
        <v>Count Bree Sales
Bigger Than 700</v>
      </c>
      <c r="F7" s="2">
        <f>COUNTIFS(J3:J23,C7,L3:L23,"&gt;"&amp;D7)</f>
        <v>2</v>
      </c>
      <c r="G7" s="12" t="str">
        <f ca="1">_xlfn.IFNA(_xlfn.FORMULATEXT(F7),"")</f>
        <v>=COUNTIFS(J3:J23,C7,L3:L23,"&gt;"&amp;D7)</v>
      </c>
      <c r="I7" s="114">
        <v>45659</v>
      </c>
      <c r="J7" s="12" t="s">
        <v>402</v>
      </c>
      <c r="K7" s="12" t="s">
        <v>316</v>
      </c>
      <c r="L7" s="12">
        <v>300</v>
      </c>
    </row>
    <row r="8" spans="2:12" x14ac:dyDescent="0.25">
      <c r="B8" s="113" t="s">
        <v>413</v>
      </c>
      <c r="I8" s="114">
        <v>45659</v>
      </c>
      <c r="J8" s="12" t="s">
        <v>402</v>
      </c>
      <c r="K8" s="12" t="s">
        <v>316</v>
      </c>
      <c r="L8" s="12">
        <v>400</v>
      </c>
    </row>
    <row r="9" spans="2:12" x14ac:dyDescent="0.25">
      <c r="B9" s="113"/>
      <c r="I9" s="114">
        <v>45658</v>
      </c>
      <c r="J9" s="12" t="s">
        <v>237</v>
      </c>
      <c r="K9" s="12" t="s">
        <v>316</v>
      </c>
      <c r="L9" s="12">
        <v>100</v>
      </c>
    </row>
    <row r="10" spans="2:12" x14ac:dyDescent="0.25">
      <c r="B10" s="22" t="s">
        <v>409</v>
      </c>
      <c r="C10" s="22" t="s">
        <v>421</v>
      </c>
      <c r="D10" s="22" t="s">
        <v>422</v>
      </c>
      <c r="E10" s="22" t="s">
        <v>425</v>
      </c>
      <c r="F10" s="22" t="s">
        <v>423</v>
      </c>
      <c r="G10" s="22" t="s">
        <v>424</v>
      </c>
      <c r="I10" s="114">
        <v>45660</v>
      </c>
      <c r="J10" s="12" t="s">
        <v>404</v>
      </c>
      <c r="K10" s="12" t="s">
        <v>40</v>
      </c>
      <c r="L10" s="12">
        <v>800</v>
      </c>
    </row>
    <row r="11" spans="2:12" ht="30" x14ac:dyDescent="0.25">
      <c r="B11" s="23" t="s">
        <v>442</v>
      </c>
      <c r="C11" s="115" t="s">
        <v>430</v>
      </c>
      <c r="D11" s="12"/>
      <c r="E11" s="12" t="s">
        <v>431</v>
      </c>
      <c r="F11" s="2" t="b">
        <f>ISNUMBER(C11)</f>
        <v>0</v>
      </c>
      <c r="G11" s="12" t="str">
        <f t="shared" ref="G11:G15" ca="1" si="1">_xlfn.IFNA(_xlfn.FORMULATEXT(F11),"")</f>
        <v>=ISNUMBER(C11)</v>
      </c>
      <c r="I11" s="114">
        <v>45659</v>
      </c>
      <c r="J11" s="12" t="s">
        <v>403</v>
      </c>
      <c r="K11" s="12" t="s">
        <v>316</v>
      </c>
      <c r="L11" s="12">
        <v>200</v>
      </c>
    </row>
    <row r="12" spans="2:12" ht="45" x14ac:dyDescent="0.25">
      <c r="B12" s="23" t="s">
        <v>443</v>
      </c>
      <c r="C12" s="55">
        <v>2.5000000000000001E-2</v>
      </c>
      <c r="D12" s="55">
        <v>7.6499999999999999E-2</v>
      </c>
      <c r="E12" s="12" t="s">
        <v>436</v>
      </c>
      <c r="F12" s="2" t="b">
        <f>AND(C12&gt;0,D12&gt;0)</f>
        <v>1</v>
      </c>
      <c r="G12" s="12" t="str">
        <f t="shared" ca="1" si="1"/>
        <v>=AND(C12&gt;0,D12&gt;0)</v>
      </c>
      <c r="I12" s="114">
        <v>45659</v>
      </c>
      <c r="J12" s="12" t="s">
        <v>403</v>
      </c>
      <c r="K12" s="12" t="s">
        <v>316</v>
      </c>
      <c r="L12" s="12">
        <v>500</v>
      </c>
    </row>
    <row r="13" spans="2:12" x14ac:dyDescent="0.25">
      <c r="B13" s="12" t="s">
        <v>410</v>
      </c>
      <c r="C13" s="12" t="s">
        <v>404</v>
      </c>
      <c r="D13" s="12" t="s">
        <v>40</v>
      </c>
      <c r="E13" s="12" t="s">
        <v>437</v>
      </c>
      <c r="F13" s="2" cm="1">
        <f t="array" ref="F13">SUM(IF((C6=J3:J23)+(D6=K3:K23),L3:L23))</f>
        <v>4100</v>
      </c>
      <c r="G13" s="12" t="str">
        <f t="shared" ca="1" si="1"/>
        <v>=SUM(IF((C6=J3:J23)+(D6=K3:K23),L3:L23))</v>
      </c>
      <c r="I13" s="114">
        <v>45658</v>
      </c>
      <c r="J13" s="12" t="s">
        <v>403</v>
      </c>
      <c r="K13" s="12" t="s">
        <v>316</v>
      </c>
      <c r="L13" s="12">
        <v>200</v>
      </c>
    </row>
    <row r="14" spans="2:12" x14ac:dyDescent="0.25">
      <c r="B14" s="12" t="s">
        <v>411</v>
      </c>
      <c r="C14" s="12" t="s">
        <v>404</v>
      </c>
      <c r="D14" s="12" t="s">
        <v>40</v>
      </c>
      <c r="E14" s="12" t="s">
        <v>437</v>
      </c>
      <c r="F14" s="2" cm="1">
        <f t="array" ref="F14">SUM(_xlfn._xlws.FILTER(L3:L23,(C6=J3:J23)+(D6=K3:K23)))</f>
        <v>4100</v>
      </c>
      <c r="G14" s="12" t="str">
        <f t="shared" ca="1" si="1"/>
        <v>=SUM(FILTER(L3:L23,(C6=J3:J23)+(D6=K3:K23)))</v>
      </c>
      <c r="I14" s="114">
        <v>45658</v>
      </c>
      <c r="J14" s="12" t="s">
        <v>402</v>
      </c>
      <c r="K14" s="12" t="s">
        <v>40</v>
      </c>
      <c r="L14" s="12">
        <v>500</v>
      </c>
    </row>
    <row r="15" spans="2:12" ht="30" x14ac:dyDescent="0.25">
      <c r="B15" s="117" t="s">
        <v>444</v>
      </c>
      <c r="C15" s="12" t="s">
        <v>404</v>
      </c>
      <c r="D15" s="12"/>
      <c r="E15" s="12" t="s">
        <v>438</v>
      </c>
      <c r="F15" s="2">
        <f>_xlfn.MINIFS(L3:L23,J3:J23,C15)</f>
        <v>700</v>
      </c>
      <c r="G15" s="12" t="str">
        <f t="shared" ca="1" si="1"/>
        <v>=MINIFS(L3:L23,J3:J23,C15)</v>
      </c>
      <c r="I15" s="114">
        <v>45658</v>
      </c>
      <c r="J15" s="12" t="s">
        <v>403</v>
      </c>
      <c r="K15" s="12" t="s">
        <v>316</v>
      </c>
      <c r="L15" s="12">
        <v>300</v>
      </c>
    </row>
    <row r="16" spans="2:12" x14ac:dyDescent="0.25">
      <c r="I16" s="114">
        <v>45659</v>
      </c>
      <c r="J16" s="12" t="s">
        <v>237</v>
      </c>
      <c r="K16" s="12" t="s">
        <v>316</v>
      </c>
      <c r="L16" s="12">
        <v>500</v>
      </c>
    </row>
    <row r="17" spans="2:12" x14ac:dyDescent="0.25">
      <c r="B17" s="1" t="s">
        <v>405</v>
      </c>
      <c r="C17" s="1" t="s">
        <v>432</v>
      </c>
      <c r="I17" s="114">
        <v>45659</v>
      </c>
      <c r="J17" s="12" t="s">
        <v>237</v>
      </c>
      <c r="K17" s="12" t="s">
        <v>40</v>
      </c>
      <c r="L17" s="12">
        <v>700</v>
      </c>
    </row>
    <row r="18" spans="2:12" x14ac:dyDescent="0.25">
      <c r="B18" t="s">
        <v>414</v>
      </c>
      <c r="C18" t="s">
        <v>433</v>
      </c>
      <c r="I18" s="114">
        <v>45659</v>
      </c>
      <c r="J18" s="12" t="s">
        <v>402</v>
      </c>
      <c r="K18" s="12" t="s">
        <v>316</v>
      </c>
      <c r="L18" s="12">
        <v>800</v>
      </c>
    </row>
    <row r="19" spans="2:12" x14ac:dyDescent="0.25">
      <c r="B19" t="s">
        <v>415</v>
      </c>
      <c r="C19" t="s">
        <v>434</v>
      </c>
      <c r="I19" s="114">
        <v>45658</v>
      </c>
      <c r="J19" s="12" t="s">
        <v>237</v>
      </c>
      <c r="K19" s="12" t="s">
        <v>40</v>
      </c>
      <c r="L19" s="12">
        <v>400</v>
      </c>
    </row>
    <row r="20" spans="2:12" x14ac:dyDescent="0.25">
      <c r="B20" t="s">
        <v>416</v>
      </c>
      <c r="C20" t="s">
        <v>435</v>
      </c>
      <c r="I20" s="114">
        <v>45659</v>
      </c>
      <c r="J20" s="12" t="s">
        <v>403</v>
      </c>
      <c r="K20" s="12" t="s">
        <v>316</v>
      </c>
      <c r="L20" s="12">
        <v>400</v>
      </c>
    </row>
    <row r="21" spans="2:12" x14ac:dyDescent="0.25">
      <c r="B21" t="s">
        <v>417</v>
      </c>
      <c r="I21" s="114">
        <v>45660</v>
      </c>
      <c r="J21" s="12" t="s">
        <v>404</v>
      </c>
      <c r="K21" s="12" t="s">
        <v>40</v>
      </c>
      <c r="L21" s="12">
        <v>700</v>
      </c>
    </row>
    <row r="22" spans="2:12" x14ac:dyDescent="0.25">
      <c r="B22" t="s">
        <v>418</v>
      </c>
      <c r="I22" s="114">
        <v>45659</v>
      </c>
      <c r="J22" s="12" t="s">
        <v>237</v>
      </c>
      <c r="K22" s="12" t="s">
        <v>316</v>
      </c>
      <c r="L22" s="12">
        <v>500</v>
      </c>
    </row>
    <row r="23" spans="2:12" x14ac:dyDescent="0.25">
      <c r="B23" t="s">
        <v>419</v>
      </c>
      <c r="I23" s="114">
        <v>45658</v>
      </c>
      <c r="J23" s="12" t="s">
        <v>402</v>
      </c>
      <c r="K23" s="12" t="s">
        <v>316</v>
      </c>
      <c r="L23" s="12">
        <v>400</v>
      </c>
    </row>
  </sheetData>
  <phoneticPr fontId="9"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35DB2-0C26-4A4A-AC44-2EFE7BA91CD8}">
  <sheetPr>
    <tabColor rgb="FF0000FF"/>
  </sheetPr>
  <dimension ref="B1:L29"/>
  <sheetViews>
    <sheetView topLeftCell="A2" zoomScale="120" zoomScaleNormal="120" workbookViewId="0">
      <selection activeCell="I24" sqref="I24"/>
    </sheetView>
  </sheetViews>
  <sheetFormatPr defaultRowHeight="15" x14ac:dyDescent="0.25"/>
  <cols>
    <col min="1" max="1" width="0.85546875" customWidth="1"/>
    <col min="2" max="2" width="15" customWidth="1"/>
    <col min="3" max="3" width="8.7109375" customWidth="1"/>
    <col min="4" max="4" width="9.28515625" customWidth="1"/>
    <col min="5" max="5" width="9.42578125" customWidth="1"/>
    <col min="6" max="6" width="12.140625" customWidth="1"/>
    <col min="7" max="7" width="0.85546875" customWidth="1"/>
    <col min="8" max="8" width="18.28515625" customWidth="1"/>
    <col min="9" max="9" width="14.140625" customWidth="1"/>
    <col min="10" max="10" width="8.5703125" customWidth="1"/>
    <col min="11" max="11" width="10.28515625" customWidth="1"/>
    <col min="12" max="12" width="11.7109375" customWidth="1"/>
    <col min="13" max="13" width="10.7109375" bestFit="1" customWidth="1"/>
  </cols>
  <sheetData>
    <row r="1" spans="2:12" ht="2.85" customHeight="1" x14ac:dyDescent="0.25"/>
    <row r="2" spans="2:12" x14ac:dyDescent="0.25">
      <c r="B2" s="108" t="s">
        <v>463</v>
      </c>
      <c r="H2" s="22" t="s">
        <v>445</v>
      </c>
      <c r="I2" s="22" t="s">
        <v>446</v>
      </c>
      <c r="J2" s="22" t="s">
        <v>447</v>
      </c>
      <c r="K2" s="22" t="s">
        <v>448</v>
      </c>
      <c r="L2" s="22" t="s">
        <v>449</v>
      </c>
    </row>
    <row r="3" spans="2:12" x14ac:dyDescent="0.25">
      <c r="H3" s="12" t="s">
        <v>450</v>
      </c>
      <c r="I3" s="12" t="s">
        <v>403</v>
      </c>
      <c r="J3" s="12" t="s">
        <v>451</v>
      </c>
      <c r="K3" s="66">
        <v>41188</v>
      </c>
      <c r="L3" s="12" t="s">
        <v>452</v>
      </c>
    </row>
    <row r="4" spans="2:12" x14ac:dyDescent="0.25">
      <c r="B4" s="22" t="s">
        <v>445</v>
      </c>
      <c r="C4" s="22" t="s">
        <v>446</v>
      </c>
      <c r="D4" s="22" t="s">
        <v>447</v>
      </c>
      <c r="E4" s="22" t="s">
        <v>448</v>
      </c>
      <c r="F4" s="22" t="s">
        <v>449</v>
      </c>
      <c r="H4" s="12" t="s">
        <v>458</v>
      </c>
      <c r="I4" s="12" t="s">
        <v>459</v>
      </c>
      <c r="J4" s="12" t="s">
        <v>460</v>
      </c>
      <c r="K4" s="66">
        <v>44110</v>
      </c>
      <c r="L4" s="12" t="s">
        <v>461</v>
      </c>
    </row>
    <row r="5" spans="2:12" x14ac:dyDescent="0.25">
      <c r="B5" s="12" t="s">
        <v>450</v>
      </c>
      <c r="C5" s="119" t="str" cm="1">
        <f t="array" ref="C5:F5">_xlfn.XLOOKUP(B5,H3:H5,I3:L5)</f>
        <v>Sioux</v>
      </c>
      <c r="D5" s="2" t="str">
        <v>Chin</v>
      </c>
      <c r="E5" s="118">
        <v>41188</v>
      </c>
      <c r="F5" s="2" t="str">
        <v>Accounting</v>
      </c>
      <c r="H5" s="12" t="s">
        <v>453</v>
      </c>
      <c r="I5" s="12" t="s">
        <v>454</v>
      </c>
      <c r="J5" s="12" t="s">
        <v>455</v>
      </c>
      <c r="K5" s="66">
        <v>40862</v>
      </c>
      <c r="L5" s="12" t="s">
        <v>456</v>
      </c>
    </row>
    <row r="6" spans="2:12" x14ac:dyDescent="0.25">
      <c r="C6" t="str">
        <f ca="1">_xlfn.IFNA(_xlfn.FORMULATEXT(C5),"")</f>
        <v>=XLOOKUP(B5,H3:H5,I3:L5)</v>
      </c>
    </row>
    <row r="8" spans="2:12" x14ac:dyDescent="0.25">
      <c r="B8" s="108" t="s">
        <v>464</v>
      </c>
      <c r="H8" s="22" t="s">
        <v>462</v>
      </c>
      <c r="I8" s="22" t="s">
        <v>36</v>
      </c>
    </row>
    <row r="9" spans="2:12" x14ac:dyDescent="0.25">
      <c r="H9" s="12">
        <v>0</v>
      </c>
      <c r="I9" s="70">
        <v>0.02</v>
      </c>
    </row>
    <row r="10" spans="2:12" x14ac:dyDescent="0.25">
      <c r="B10" s="22" t="s">
        <v>462</v>
      </c>
      <c r="C10" s="12">
        <v>5500</v>
      </c>
      <c r="H10" s="12">
        <v>950</v>
      </c>
      <c r="I10" s="70">
        <v>3.5000000000000003E-2</v>
      </c>
    </row>
    <row r="11" spans="2:12" x14ac:dyDescent="0.25">
      <c r="B11" s="22" t="s">
        <v>36</v>
      </c>
      <c r="C11" s="120">
        <f>LOOKUP(C10,H9:I12)</f>
        <v>4.7500000000000001E-2</v>
      </c>
      <c r="H11" s="12">
        <v>2750</v>
      </c>
      <c r="I11" s="70">
        <v>4.7500000000000001E-2</v>
      </c>
    </row>
    <row r="12" spans="2:12" x14ac:dyDescent="0.25">
      <c r="C12" t="str">
        <f ca="1">_xlfn.IFNA(_xlfn.FORMULATEXT(C11),"")</f>
        <v>=LOOKUP(C10,H9:I12)</v>
      </c>
      <c r="H12" s="12">
        <v>6500</v>
      </c>
      <c r="I12" s="70">
        <v>6.5000000000000002E-2</v>
      </c>
    </row>
    <row r="14" spans="2:12" x14ac:dyDescent="0.25">
      <c r="B14" s="108" t="s">
        <v>465</v>
      </c>
      <c r="H14" s="22" t="s">
        <v>299</v>
      </c>
      <c r="I14" s="22" t="s">
        <v>38</v>
      </c>
      <c r="J14" s="22" t="s">
        <v>350</v>
      </c>
    </row>
    <row r="15" spans="2:12" x14ac:dyDescent="0.25">
      <c r="H15" s="114">
        <v>45658</v>
      </c>
      <c r="I15" s="12" t="s">
        <v>40</v>
      </c>
      <c r="J15" s="12">
        <v>100</v>
      </c>
    </row>
    <row r="16" spans="2:12" x14ac:dyDescent="0.25">
      <c r="B16" s="22" t="s">
        <v>38</v>
      </c>
      <c r="D16" s="22" t="s">
        <v>299</v>
      </c>
      <c r="E16" s="22" t="s">
        <v>38</v>
      </c>
      <c r="F16" s="22" t="s">
        <v>350</v>
      </c>
      <c r="H16" s="114">
        <v>45658</v>
      </c>
      <c r="I16" s="12" t="s">
        <v>316</v>
      </c>
      <c r="J16" s="12">
        <v>200</v>
      </c>
    </row>
    <row r="17" spans="2:10" x14ac:dyDescent="0.25">
      <c r="B17" s="12" t="s">
        <v>40</v>
      </c>
      <c r="D17" s="121" cm="1">
        <f t="array" ref="D17:F18">_xlfn._xlws.FILTER(H15:J19,I15:I19=B17)</f>
        <v>45658</v>
      </c>
      <c r="E17" t="str">
        <v>Quad</v>
      </c>
      <c r="F17">
        <v>100</v>
      </c>
      <c r="H17" s="114">
        <v>45659</v>
      </c>
      <c r="I17" s="12" t="s">
        <v>316</v>
      </c>
      <c r="J17" s="12">
        <v>400</v>
      </c>
    </row>
    <row r="18" spans="2:10" x14ac:dyDescent="0.25">
      <c r="D18" s="121">
        <v>45660</v>
      </c>
      <c r="E18" t="str">
        <v>Quad</v>
      </c>
      <c r="F18">
        <v>800</v>
      </c>
      <c r="H18" s="114">
        <v>45658</v>
      </c>
      <c r="I18" s="12" t="s">
        <v>316</v>
      </c>
      <c r="J18" s="12">
        <v>100</v>
      </c>
    </row>
    <row r="19" spans="2:10" x14ac:dyDescent="0.25">
      <c r="D19" s="121"/>
      <c r="H19" s="114">
        <v>45660</v>
      </c>
      <c r="I19" s="12" t="s">
        <v>40</v>
      </c>
      <c r="J19" s="12">
        <v>800</v>
      </c>
    </row>
    <row r="20" spans="2:10" ht="2.85" customHeight="1" x14ac:dyDescent="0.25">
      <c r="D20" s="121"/>
    </row>
    <row r="21" spans="2:10" x14ac:dyDescent="0.25">
      <c r="B21" s="108" t="s">
        <v>466</v>
      </c>
    </row>
    <row r="22" spans="2:10" ht="2.85" customHeight="1" x14ac:dyDescent="0.25">
      <c r="B22" s="113"/>
    </row>
    <row r="23" spans="2:10" x14ac:dyDescent="0.25">
      <c r="B23" s="22" t="s">
        <v>467</v>
      </c>
      <c r="D23" s="22" t="s">
        <v>468</v>
      </c>
      <c r="E23" s="22" t="s">
        <v>475</v>
      </c>
      <c r="F23" s="22" t="s">
        <v>474</v>
      </c>
      <c r="H23" s="22" t="s">
        <v>476</v>
      </c>
      <c r="I23" s="22" t="s">
        <v>477</v>
      </c>
    </row>
    <row r="24" spans="2:10" x14ac:dyDescent="0.25">
      <c r="B24" s="12" t="s">
        <v>237</v>
      </c>
      <c r="D24" s="12" t="s">
        <v>472</v>
      </c>
      <c r="E24" s="2" t="b" cm="1">
        <f t="array" ref="E24:E29">ISNUMBER(_xlfn.XMATCH(D24:D29,B24:B29))</f>
        <v>0</v>
      </c>
      <c r="F24" s="2" t="b" cm="1">
        <f t="array" ref="F24:F29">ISNA(_xlfn.XMATCH(D24:D29,B24:B29))</f>
        <v>1</v>
      </c>
      <c r="H24" t="str" cm="1">
        <f t="array" ref="H24:H27">_xlfn._xlws.FILTER(D24:D29,ISNA(_xlfn.XMATCH(D24:D29,B24:B29)))</f>
        <v>Miki</v>
      </c>
      <c r="I24" t="str" cm="1">
        <f t="array" ref="I24:I25">_xlfn._xlws.FILTER(D24:D29,ISNUMBER(_xlfn.XMATCH(D24:D29,B24:B29)))</f>
        <v>Chantel</v>
      </c>
    </row>
    <row r="25" spans="2:10" x14ac:dyDescent="0.25">
      <c r="B25" s="12" t="s">
        <v>469</v>
      </c>
      <c r="D25" s="12" t="s">
        <v>237</v>
      </c>
      <c r="E25" s="2" t="b">
        <v>1</v>
      </c>
      <c r="F25" s="2" t="b">
        <v>0</v>
      </c>
      <c r="H25" t="str">
        <v>Gigi</v>
      </c>
      <c r="I25" t="str">
        <v>Luong</v>
      </c>
    </row>
    <row r="26" spans="2:10" x14ac:dyDescent="0.25">
      <c r="B26" s="12" t="s">
        <v>402</v>
      </c>
      <c r="D26" s="12" t="s">
        <v>457</v>
      </c>
      <c r="E26" s="2" t="b">
        <v>0</v>
      </c>
      <c r="F26" s="2" t="b">
        <v>1</v>
      </c>
      <c r="H26" t="str">
        <v>Sioux</v>
      </c>
    </row>
    <row r="27" spans="2:10" x14ac:dyDescent="0.25">
      <c r="B27" s="12" t="s">
        <v>470</v>
      </c>
      <c r="D27" s="12" t="s">
        <v>403</v>
      </c>
      <c r="E27" s="2" t="b">
        <v>0</v>
      </c>
      <c r="F27" s="2" t="b">
        <v>1</v>
      </c>
      <c r="H27" t="str">
        <v>Pops</v>
      </c>
    </row>
    <row r="28" spans="2:10" x14ac:dyDescent="0.25">
      <c r="B28" s="12" t="s">
        <v>404</v>
      </c>
      <c r="D28" s="12" t="s">
        <v>402</v>
      </c>
      <c r="E28" s="2" t="b">
        <v>1</v>
      </c>
      <c r="F28" s="2" t="b">
        <v>0</v>
      </c>
    </row>
    <row r="29" spans="2:10" x14ac:dyDescent="0.25">
      <c r="B29" s="12" t="s">
        <v>471</v>
      </c>
      <c r="D29" s="12" t="s">
        <v>473</v>
      </c>
      <c r="E29" s="2" t="b">
        <v>0</v>
      </c>
      <c r="F29" s="2" t="b">
        <v>1</v>
      </c>
    </row>
  </sheetData>
  <phoneticPr fontId="9" type="noConversion"/>
  <dataValidations disablePrompts="1" count="2">
    <dataValidation type="list" allowBlank="1" showInputMessage="1" showErrorMessage="1" sqref="B5" xr:uid="{EF1BA1AF-7C21-40C8-B4E3-717FB233F7D6}">
      <formula1>$H$3:$H$5</formula1>
    </dataValidation>
    <dataValidation type="list" allowBlank="1" showInputMessage="1" showErrorMessage="1" sqref="B17" xr:uid="{2A8299F3-7C64-4520-8E02-38677265F0A6}">
      <formula1>$I$15:$I$19</formula1>
    </dataValidation>
  </dataValidation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23749-EB25-49BF-8C13-DF87EF515059}">
  <sheetPr>
    <tabColor rgb="FF0000FF"/>
  </sheetPr>
  <dimension ref="B1:H14"/>
  <sheetViews>
    <sheetView zoomScale="115" zoomScaleNormal="115" workbookViewId="0"/>
  </sheetViews>
  <sheetFormatPr defaultRowHeight="15" x14ac:dyDescent="0.25"/>
  <cols>
    <col min="2" max="2" width="14.140625" customWidth="1"/>
    <col min="3" max="3" width="66.5703125" customWidth="1"/>
    <col min="4" max="4" width="12.28515625" customWidth="1"/>
    <col min="5" max="5" width="7.85546875" customWidth="1"/>
    <col min="6" max="6" width="4.42578125" customWidth="1"/>
    <col min="7" max="7" width="10.28515625" customWidth="1"/>
  </cols>
  <sheetData>
    <row r="1" spans="2:8" ht="15.75" thickBot="1" x14ac:dyDescent="0.3"/>
    <row r="2" spans="2:8" x14ac:dyDescent="0.25">
      <c r="B2" s="129" t="s">
        <v>60</v>
      </c>
      <c r="C2" s="130" t="s">
        <v>61</v>
      </c>
    </row>
    <row r="3" spans="2:8" x14ac:dyDescent="0.25">
      <c r="B3" s="131" t="e">
        <v>#DIV/0!</v>
      </c>
      <c r="C3" s="132" t="s">
        <v>62</v>
      </c>
      <c r="D3" s="128" t="e">
        <f>1/0</f>
        <v>#DIV/0!</v>
      </c>
      <c r="G3" t="str" cm="1">
        <f t="array" aca="1" ref="G3:G10" ca="1">_xlfn.IFNA(_xlfn.FORMULATEXT(D3:D10),"")</f>
        <v>=1/0</v>
      </c>
    </row>
    <row r="4" spans="2:8" ht="30" x14ac:dyDescent="0.25">
      <c r="B4" s="131" t="e">
        <v>#REF!</v>
      </c>
      <c r="C4" s="132" t="s">
        <v>63</v>
      </c>
      <c r="D4" s="128" t="e">
        <f>#REF!</f>
        <v>#REF!</v>
      </c>
      <c r="G4" t="str">
        <f ca="1"/>
        <v>=#REF!</v>
      </c>
    </row>
    <row r="5" spans="2:8" ht="30" x14ac:dyDescent="0.25">
      <c r="B5" s="131" t="e">
        <v>#NAME?</v>
      </c>
      <c r="C5" s="132" t="s">
        <v>76</v>
      </c>
      <c r="D5" s="128" t="e" cm="1">
        <f t="array" ref="D5">Ssum</f>
        <v>#NAME?</v>
      </c>
      <c r="G5" t="str">
        <f ca="1"/>
        <v>=Ssum</v>
      </c>
    </row>
    <row r="6" spans="2:8" ht="30" x14ac:dyDescent="0.25">
      <c r="B6" s="131" t="e">
        <v>#N/A</v>
      </c>
      <c r="C6" s="132" t="s">
        <v>75</v>
      </c>
      <c r="G6" t="str">
        <f ca="1"/>
        <v/>
      </c>
    </row>
    <row r="7" spans="2:8" ht="30" x14ac:dyDescent="0.25">
      <c r="B7" s="131" t="e">
        <v>#VALUE!</v>
      </c>
      <c r="C7" s="132" t="s">
        <v>77</v>
      </c>
      <c r="D7" s="128" t="e" vm="1">
        <f>"red"*3</f>
        <v>#VALUE!</v>
      </c>
      <c r="E7" s="2" t="e" vm="2">
        <f>ROUND(2,"two")</f>
        <v>#VALUE!</v>
      </c>
      <c r="G7" t="str">
        <f ca="1"/>
        <v>="red"*3</v>
      </c>
      <c r="H7" t="str">
        <f ca="1">_xlfn.IFNA(_xlfn.FORMULATEXT(E7),"")</f>
        <v>=ROUND(2,"two")</v>
      </c>
    </row>
    <row r="8" spans="2:8" x14ac:dyDescent="0.25">
      <c r="B8" s="131" t="e">
        <v>#NULL!</v>
      </c>
      <c r="C8" s="132" t="s">
        <v>64</v>
      </c>
      <c r="G8" t="str">
        <f ca="1"/>
        <v/>
      </c>
    </row>
    <row r="9" spans="2:8" ht="45" x14ac:dyDescent="0.25">
      <c r="B9" s="131" t="e">
        <v>#NUM!</v>
      </c>
      <c r="C9" s="132" t="s">
        <v>65</v>
      </c>
      <c r="D9" s="128" t="e">
        <f>LARGE({1},3)</f>
        <v>#NUM!</v>
      </c>
      <c r="G9" t="str">
        <f ca="1"/>
        <v>=LARGE({1},3)</v>
      </c>
    </row>
    <row r="10" spans="2:8" ht="30" x14ac:dyDescent="0.25">
      <c r="B10" s="131" t="s">
        <v>66</v>
      </c>
      <c r="C10" s="132" t="s">
        <v>67</v>
      </c>
      <c r="D10" s="135">
        <v>45653</v>
      </c>
      <c r="E10" s="122"/>
      <c r="G10" t="str">
        <f ca="1"/>
        <v/>
      </c>
    </row>
    <row r="11" spans="2:8" ht="45" x14ac:dyDescent="0.25">
      <c r="B11" s="131" t="s">
        <v>583</v>
      </c>
      <c r="C11" s="132" t="s">
        <v>68</v>
      </c>
      <c r="D11" s="128"/>
    </row>
    <row r="12" spans="2:8" ht="30" x14ac:dyDescent="0.25">
      <c r="B12" s="131" t="s">
        <v>69</v>
      </c>
      <c r="C12" s="132" t="s">
        <v>70</v>
      </c>
    </row>
    <row r="13" spans="2:8" ht="30" x14ac:dyDescent="0.25">
      <c r="B13" s="131" t="s">
        <v>71</v>
      </c>
      <c r="C13" s="132" t="s">
        <v>72</v>
      </c>
    </row>
    <row r="14" spans="2:8" ht="45.75" thickBot="1" x14ac:dyDescent="0.3">
      <c r="B14" s="133" t="s">
        <v>73</v>
      </c>
      <c r="C14" s="134" t="s">
        <v>74</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51586-E562-4917-BD57-480999E9DCD6}">
  <sheetPr>
    <tabColor theme="1"/>
  </sheetPr>
  <dimension ref="A1"/>
  <sheetViews>
    <sheetView workbookViewId="0"/>
  </sheetViews>
  <sheetFormatPr defaultRowHeight="15" x14ac:dyDescent="0.25"/>
  <cols>
    <col min="3" max="3" width="47.5703125" customWidth="1"/>
  </cols>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0F215-2102-44AB-97BA-F252A5A6BF0F}">
  <sheetPr>
    <tabColor rgb="FF0000FF"/>
  </sheetPr>
  <dimension ref="B2:M21"/>
  <sheetViews>
    <sheetView workbookViewId="0">
      <selection activeCell="M13" sqref="M13"/>
    </sheetView>
  </sheetViews>
  <sheetFormatPr defaultRowHeight="15" x14ac:dyDescent="0.25"/>
  <cols>
    <col min="1" max="1" width="2.85546875" customWidth="1"/>
    <col min="2" max="2" width="7" bestFit="1" customWidth="1"/>
    <col min="3" max="3" width="21.7109375" customWidth="1"/>
  </cols>
  <sheetData>
    <row r="2" spans="2:13" x14ac:dyDescent="0.25">
      <c r="C2" s="28" t="s">
        <v>648</v>
      </c>
      <c r="D2" s="61"/>
      <c r="E2" s="61"/>
      <c r="F2" s="61"/>
      <c r="G2" s="61"/>
      <c r="H2" s="61"/>
      <c r="I2" s="61"/>
      <c r="J2" s="29"/>
    </row>
    <row r="4" spans="2:13" x14ac:dyDescent="0.25">
      <c r="D4" s="3" t="s">
        <v>551</v>
      </c>
      <c r="E4" s="3" t="s">
        <v>552</v>
      </c>
      <c r="F4" s="3" t="s">
        <v>553</v>
      </c>
      <c r="G4" s="3" t="s">
        <v>554</v>
      </c>
      <c r="H4" s="3" t="s">
        <v>555</v>
      </c>
      <c r="I4" s="3" t="s">
        <v>556</v>
      </c>
      <c r="J4" s="3" t="s">
        <v>174</v>
      </c>
    </row>
    <row r="5" spans="2:13" x14ac:dyDescent="0.25">
      <c r="C5" s="137" t="s">
        <v>42</v>
      </c>
      <c r="D5" s="55">
        <v>21730</v>
      </c>
      <c r="E5" s="55">
        <v>21668</v>
      </c>
      <c r="F5" s="55">
        <v>27376</v>
      </c>
      <c r="G5" s="55">
        <v>29647</v>
      </c>
      <c r="H5" s="55">
        <v>30163</v>
      </c>
      <c r="I5" s="55">
        <v>35269</v>
      </c>
      <c r="J5" s="138">
        <f>SUM(D5:I5)</f>
        <v>165853</v>
      </c>
    </row>
    <row r="6" spans="2:13" ht="30" x14ac:dyDescent="0.25">
      <c r="C6" s="139" t="s">
        <v>557</v>
      </c>
      <c r="D6" s="140"/>
      <c r="E6" s="140"/>
      <c r="F6" s="140"/>
      <c r="G6" s="140"/>
      <c r="H6" s="140"/>
      <c r="I6" s="140"/>
      <c r="J6" s="140"/>
    </row>
    <row r="7" spans="2:13" x14ac:dyDescent="0.25">
      <c r="B7" s="12">
        <v>0.375</v>
      </c>
      <c r="C7" s="141" t="s">
        <v>558</v>
      </c>
      <c r="D7" s="142" cm="1">
        <f t="array" ref="D7:I19">ROUND(D5:I5*B7:B19,2)</f>
        <v>8148.75</v>
      </c>
      <c r="E7" s="142">
        <v>8125.5</v>
      </c>
      <c r="F7" s="142">
        <v>10266</v>
      </c>
      <c r="G7" s="142">
        <v>11117.63</v>
      </c>
      <c r="H7" s="142">
        <v>11311.13</v>
      </c>
      <c r="I7" s="142">
        <v>13225.88</v>
      </c>
      <c r="J7" s="138">
        <f>SUM(D7:I7)</f>
        <v>62194.889999999992</v>
      </c>
      <c r="M7" t="str" cm="1">
        <f t="array" aca="1" ref="M7" ca="1">ShowFormulas(D7)</f>
        <v>D7: =ROUND(D5:I5*B7:B19,2)</v>
      </c>
    </row>
    <row r="8" spans="2:13" x14ac:dyDescent="0.25">
      <c r="B8" s="12">
        <v>0.13500000000000001</v>
      </c>
      <c r="C8" s="141" t="s">
        <v>559</v>
      </c>
      <c r="D8" s="142">
        <v>2933.55</v>
      </c>
      <c r="E8" s="142">
        <v>2925.18</v>
      </c>
      <c r="F8" s="142">
        <v>3695.76</v>
      </c>
      <c r="G8" s="142">
        <v>4002.35</v>
      </c>
      <c r="H8" s="142">
        <v>4072.01</v>
      </c>
      <c r="I8" s="142">
        <v>4761.32</v>
      </c>
      <c r="J8" s="138">
        <f t="shared" ref="J8:J20" si="0">SUM(D8:I8)</f>
        <v>22390.17</v>
      </c>
      <c r="M8" t="str" cm="1">
        <f t="array" aca="1" ref="M8" ca="1">ShowFormulas(D20)</f>
        <v>D20: =SUM(D7:D19)</v>
      </c>
    </row>
    <row r="9" spans="2:13" x14ac:dyDescent="0.25">
      <c r="B9" s="12">
        <v>7.4999999999999997E-2</v>
      </c>
      <c r="C9" s="141" t="s">
        <v>560</v>
      </c>
      <c r="D9" s="142">
        <v>1629.75</v>
      </c>
      <c r="E9" s="142">
        <v>1625.1</v>
      </c>
      <c r="F9" s="142">
        <v>2053.1999999999998</v>
      </c>
      <c r="G9" s="142">
        <v>2223.5300000000002</v>
      </c>
      <c r="H9" s="142">
        <v>2262.23</v>
      </c>
      <c r="I9" s="142">
        <v>2645.18</v>
      </c>
      <c r="J9" s="138">
        <f t="shared" si="0"/>
        <v>12438.99</v>
      </c>
      <c r="M9" t="str" cm="1">
        <f t="array" aca="1" ref="M9" ca="1">ShowFormulas(J7)</f>
        <v>J7: =SUM(D7:I7)</v>
      </c>
    </row>
    <row r="10" spans="2:13" x14ac:dyDescent="0.25">
      <c r="B10" s="12">
        <v>1.4999999999999999E-2</v>
      </c>
      <c r="C10" s="141" t="s">
        <v>561</v>
      </c>
      <c r="D10" s="142">
        <v>325.95</v>
      </c>
      <c r="E10" s="142">
        <v>325.02</v>
      </c>
      <c r="F10" s="142">
        <v>410.64</v>
      </c>
      <c r="G10" s="142">
        <v>444.71</v>
      </c>
      <c r="H10" s="142">
        <v>452.45</v>
      </c>
      <c r="I10" s="142">
        <v>529.04</v>
      </c>
      <c r="J10" s="138">
        <f t="shared" si="0"/>
        <v>2487.8100000000004</v>
      </c>
      <c r="M10" t="str" cm="1">
        <f t="array" aca="1" ref="M10" ca="1">ShowFormulas(J20)</f>
        <v>J20: =SUM(D20:I20)</v>
      </c>
    </row>
    <row r="11" spans="2:13" x14ac:dyDescent="0.25">
      <c r="B11" s="12">
        <v>4.7500000000000001E-2</v>
      </c>
      <c r="C11" s="141" t="s">
        <v>562</v>
      </c>
      <c r="D11" s="142">
        <v>1032.18</v>
      </c>
      <c r="E11" s="142">
        <v>1029.23</v>
      </c>
      <c r="F11" s="142">
        <v>1300.3599999999999</v>
      </c>
      <c r="G11" s="142">
        <v>1408.23</v>
      </c>
      <c r="H11" s="142">
        <v>1432.74</v>
      </c>
      <c r="I11" s="142">
        <v>1675.28</v>
      </c>
      <c r="J11" s="138">
        <f t="shared" si="0"/>
        <v>7878.0199999999995</v>
      </c>
      <c r="M11" t="str" cm="1">
        <f t="array" aca="1" ref="M11" ca="1">ShowFormulas(D21)</f>
        <v>D21: =D5:I5-D20:I20</v>
      </c>
    </row>
    <row r="12" spans="2:13" x14ac:dyDescent="0.25">
      <c r="B12" s="12">
        <v>3.5000000000000003E-2</v>
      </c>
      <c r="C12" s="141" t="s">
        <v>563</v>
      </c>
      <c r="D12" s="142">
        <v>760.55</v>
      </c>
      <c r="E12" s="142">
        <v>758.38</v>
      </c>
      <c r="F12" s="142">
        <v>958.16</v>
      </c>
      <c r="G12" s="142">
        <v>1037.6500000000001</v>
      </c>
      <c r="H12" s="142">
        <v>1055.71</v>
      </c>
      <c r="I12" s="142">
        <v>1234.42</v>
      </c>
      <c r="J12" s="138">
        <f t="shared" si="0"/>
        <v>5804.87</v>
      </c>
      <c r="M12" t="str" cm="1">
        <f t="array" aca="1" ref="M12" ca="1">ShowFormulas(J21)</f>
        <v>J21: =SUM(D21#)</v>
      </c>
    </row>
    <row r="13" spans="2:13" x14ac:dyDescent="0.25">
      <c r="B13" s="12">
        <v>3.7499999999999999E-2</v>
      </c>
      <c r="C13" s="141" t="s">
        <v>564</v>
      </c>
      <c r="D13" s="142">
        <v>814.88</v>
      </c>
      <c r="E13" s="142">
        <v>812.55</v>
      </c>
      <c r="F13" s="142">
        <v>1026.5999999999999</v>
      </c>
      <c r="G13" s="142">
        <v>1111.76</v>
      </c>
      <c r="H13" s="142">
        <v>1131.1099999999999</v>
      </c>
      <c r="I13" s="142">
        <v>1322.59</v>
      </c>
      <c r="J13" s="138">
        <f t="shared" si="0"/>
        <v>6219.49</v>
      </c>
    </row>
    <row r="14" spans="2:13" x14ac:dyDescent="0.25">
      <c r="B14" s="12">
        <v>2.5000000000000001E-2</v>
      </c>
      <c r="C14" s="141" t="s">
        <v>565</v>
      </c>
      <c r="D14" s="142">
        <v>543.25</v>
      </c>
      <c r="E14" s="142">
        <v>541.70000000000005</v>
      </c>
      <c r="F14" s="142">
        <v>684.4</v>
      </c>
      <c r="G14" s="142">
        <v>741.18</v>
      </c>
      <c r="H14" s="142">
        <v>754.08</v>
      </c>
      <c r="I14" s="142">
        <v>881.73</v>
      </c>
      <c r="J14" s="138">
        <f t="shared" si="0"/>
        <v>4146.34</v>
      </c>
    </row>
    <row r="15" spans="2:13" x14ac:dyDescent="0.25">
      <c r="B15" s="12">
        <v>1.4999999999999999E-2</v>
      </c>
      <c r="C15" s="141" t="s">
        <v>566</v>
      </c>
      <c r="D15" s="142">
        <v>325.95</v>
      </c>
      <c r="E15" s="142">
        <v>325.02</v>
      </c>
      <c r="F15" s="142">
        <v>410.64</v>
      </c>
      <c r="G15" s="142">
        <v>444.71</v>
      </c>
      <c r="H15" s="142">
        <v>452.45</v>
      </c>
      <c r="I15" s="142">
        <v>529.04</v>
      </c>
      <c r="J15" s="138">
        <f t="shared" si="0"/>
        <v>2487.8100000000004</v>
      </c>
    </row>
    <row r="16" spans="2:13" x14ac:dyDescent="0.25">
      <c r="B16" s="12">
        <v>0.01</v>
      </c>
      <c r="C16" s="141" t="s">
        <v>567</v>
      </c>
      <c r="D16" s="142">
        <v>217.3</v>
      </c>
      <c r="E16" s="142">
        <v>216.68</v>
      </c>
      <c r="F16" s="142">
        <v>273.76</v>
      </c>
      <c r="G16" s="142">
        <v>296.47000000000003</v>
      </c>
      <c r="H16" s="142">
        <v>301.63</v>
      </c>
      <c r="I16" s="142">
        <v>352.69</v>
      </c>
      <c r="J16" s="138">
        <f t="shared" si="0"/>
        <v>1658.5300000000002</v>
      </c>
    </row>
    <row r="17" spans="2:10" x14ac:dyDescent="0.25">
      <c r="B17" s="12">
        <v>0.01</v>
      </c>
      <c r="C17" s="141" t="s">
        <v>568</v>
      </c>
      <c r="D17" s="142">
        <v>217.3</v>
      </c>
      <c r="E17" s="142">
        <v>216.68</v>
      </c>
      <c r="F17" s="142">
        <v>273.76</v>
      </c>
      <c r="G17" s="142">
        <v>296.47000000000003</v>
      </c>
      <c r="H17" s="142">
        <v>301.63</v>
      </c>
      <c r="I17" s="142">
        <v>352.69</v>
      </c>
      <c r="J17" s="138">
        <f t="shared" si="0"/>
        <v>1658.5300000000002</v>
      </c>
    </row>
    <row r="18" spans="2:10" x14ac:dyDescent="0.25">
      <c r="B18" s="12">
        <v>2.5000000000000001E-2</v>
      </c>
      <c r="C18" s="141" t="s">
        <v>569</v>
      </c>
      <c r="D18" s="142">
        <v>543.25</v>
      </c>
      <c r="E18" s="142">
        <v>541.70000000000005</v>
      </c>
      <c r="F18" s="142">
        <v>684.4</v>
      </c>
      <c r="G18" s="142">
        <v>741.18</v>
      </c>
      <c r="H18" s="142">
        <v>754.08</v>
      </c>
      <c r="I18" s="142">
        <v>881.73</v>
      </c>
      <c r="J18" s="138">
        <f t="shared" si="0"/>
        <v>4146.34</v>
      </c>
    </row>
    <row r="19" spans="2:10" x14ac:dyDescent="0.25">
      <c r="B19" s="12">
        <v>8.7499999999999994E-2</v>
      </c>
      <c r="C19" s="141" t="s">
        <v>570</v>
      </c>
      <c r="D19" s="142">
        <v>1901.38</v>
      </c>
      <c r="E19" s="142">
        <v>1895.95</v>
      </c>
      <c r="F19" s="142">
        <v>2395.4</v>
      </c>
      <c r="G19" s="142">
        <v>2594.11</v>
      </c>
      <c r="H19" s="142">
        <v>2639.26</v>
      </c>
      <c r="I19" s="142">
        <v>3086.04</v>
      </c>
      <c r="J19" s="138">
        <f t="shared" si="0"/>
        <v>14512.14</v>
      </c>
    </row>
    <row r="20" spans="2:10" x14ac:dyDescent="0.25">
      <c r="C20" s="141" t="s">
        <v>571</v>
      </c>
      <c r="D20" s="143">
        <f>SUM(D7:D19)</f>
        <v>19394.039999999997</v>
      </c>
      <c r="E20" s="143">
        <f t="shared" ref="E20:I20" si="1">SUM(E7:E19)</f>
        <v>19338.690000000002</v>
      </c>
      <c r="F20" s="143">
        <f t="shared" si="1"/>
        <v>24433.079999999998</v>
      </c>
      <c r="G20" s="143">
        <f t="shared" si="1"/>
        <v>26459.98</v>
      </c>
      <c r="H20" s="143">
        <f t="shared" si="1"/>
        <v>26920.510000000009</v>
      </c>
      <c r="I20" s="143">
        <f t="shared" si="1"/>
        <v>31477.629999999994</v>
      </c>
      <c r="J20" s="138">
        <f t="shared" si="0"/>
        <v>148023.93</v>
      </c>
    </row>
    <row r="21" spans="2:10" ht="17.25" x14ac:dyDescent="0.4">
      <c r="C21" s="145" t="s">
        <v>572</v>
      </c>
      <c r="D21" s="144" cm="1">
        <f t="array" ref="D21:I21">D5:I5-D20:I20</f>
        <v>2335.9600000000028</v>
      </c>
      <c r="E21" s="144">
        <v>2329.3099999999977</v>
      </c>
      <c r="F21" s="144">
        <v>2942.9200000000019</v>
      </c>
      <c r="G21" s="144">
        <v>3187.0200000000004</v>
      </c>
      <c r="H21" s="144">
        <v>3242.4899999999907</v>
      </c>
      <c r="I21" s="144">
        <v>3791.3700000000063</v>
      </c>
      <c r="J21" s="138">
        <f>SUM(_xlfn.ANCHORARRAY(D21))</f>
        <v>17829.07</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6358A-3170-4F17-9B53-D74C114BE81A}">
  <sheetPr>
    <tabColor rgb="FF0000FF"/>
  </sheetPr>
  <dimension ref="B2:I18"/>
  <sheetViews>
    <sheetView zoomScale="130" zoomScaleNormal="130" workbookViewId="0">
      <selection activeCell="D18" sqref="D18"/>
    </sheetView>
  </sheetViews>
  <sheetFormatPr defaultRowHeight="15" x14ac:dyDescent="0.25"/>
  <cols>
    <col min="1" max="1" width="3.42578125" customWidth="1"/>
    <col min="2" max="2" width="12.140625" customWidth="1"/>
    <col min="3" max="3" width="10.85546875" customWidth="1"/>
    <col min="4" max="4" width="13.7109375" bestFit="1" customWidth="1"/>
    <col min="9" max="9" width="19.7109375" customWidth="1"/>
  </cols>
  <sheetData>
    <row r="2" spans="2:9" x14ac:dyDescent="0.25">
      <c r="B2" s="28" t="s">
        <v>786</v>
      </c>
      <c r="C2" s="61"/>
      <c r="D2" s="61"/>
      <c r="E2" s="61"/>
      <c r="F2" s="61"/>
      <c r="G2" s="61"/>
      <c r="H2" s="61"/>
      <c r="I2" s="29"/>
    </row>
    <row r="4" spans="2:9" x14ac:dyDescent="0.25">
      <c r="B4" s="62" t="s">
        <v>600</v>
      </c>
      <c r="C4" s="62" t="s">
        <v>606</v>
      </c>
      <c r="D4" s="62" t="s">
        <v>649</v>
      </c>
      <c r="F4" s="157" t="s">
        <v>36</v>
      </c>
    </row>
    <row r="5" spans="2:9" x14ac:dyDescent="0.25">
      <c r="B5" s="12" t="s">
        <v>403</v>
      </c>
      <c r="C5" s="12">
        <v>5262.26</v>
      </c>
      <c r="D5" s="2">
        <f>ROUND(C5*$F$5,2)</f>
        <v>77.62</v>
      </c>
      <c r="F5" s="158">
        <v>1.4749999999999999E-2</v>
      </c>
    </row>
    <row r="6" spans="2:9" x14ac:dyDescent="0.25">
      <c r="B6" s="12" t="s">
        <v>650</v>
      </c>
      <c r="C6" s="12">
        <v>5531.85</v>
      </c>
      <c r="D6" s="2">
        <f t="shared" ref="D6:D17" si="0">ROUND(C6*$F$5,2)</f>
        <v>81.59</v>
      </c>
    </row>
    <row r="7" spans="2:9" x14ac:dyDescent="0.25">
      <c r="B7" s="12" t="s">
        <v>651</v>
      </c>
      <c r="C7" s="12">
        <v>5867.76</v>
      </c>
      <c r="D7" s="2">
        <f t="shared" si="0"/>
        <v>86.55</v>
      </c>
    </row>
    <row r="8" spans="2:9" x14ac:dyDescent="0.25">
      <c r="B8" s="12" t="s">
        <v>652</v>
      </c>
      <c r="C8" s="12">
        <v>4976.26</v>
      </c>
      <c r="D8" s="2">
        <f t="shared" si="0"/>
        <v>73.400000000000006</v>
      </c>
    </row>
    <row r="9" spans="2:9" x14ac:dyDescent="0.25">
      <c r="B9" s="12" t="s">
        <v>653</v>
      </c>
      <c r="C9" s="12">
        <v>5938.27</v>
      </c>
      <c r="D9" s="2">
        <f t="shared" si="0"/>
        <v>87.59</v>
      </c>
    </row>
    <row r="10" spans="2:9" x14ac:dyDescent="0.25">
      <c r="B10" s="12" t="s">
        <v>650</v>
      </c>
      <c r="C10" s="12">
        <v>4290.34</v>
      </c>
      <c r="D10" s="2">
        <f t="shared" si="0"/>
        <v>63.28</v>
      </c>
    </row>
    <row r="11" spans="2:9" x14ac:dyDescent="0.25">
      <c r="B11" s="12" t="s">
        <v>451</v>
      </c>
      <c r="C11" s="12">
        <v>5000.3999999999996</v>
      </c>
      <c r="D11" s="2">
        <f t="shared" si="0"/>
        <v>73.760000000000005</v>
      </c>
    </row>
    <row r="12" spans="2:9" x14ac:dyDescent="0.25">
      <c r="B12" s="12" t="s">
        <v>654</v>
      </c>
      <c r="C12" s="12">
        <v>4780.87</v>
      </c>
      <c r="D12" s="2">
        <f t="shared" si="0"/>
        <v>70.52</v>
      </c>
    </row>
    <row r="13" spans="2:9" x14ac:dyDescent="0.25">
      <c r="B13" s="12" t="s">
        <v>655</v>
      </c>
      <c r="C13" s="12">
        <v>4536.95</v>
      </c>
      <c r="D13" s="2">
        <f t="shared" si="0"/>
        <v>66.92</v>
      </c>
    </row>
    <row r="14" spans="2:9" x14ac:dyDescent="0.25">
      <c r="B14" s="12" t="s">
        <v>656</v>
      </c>
      <c r="C14" s="12">
        <v>4070.94</v>
      </c>
      <c r="D14" s="2">
        <f t="shared" si="0"/>
        <v>60.05</v>
      </c>
    </row>
    <row r="15" spans="2:9" x14ac:dyDescent="0.25">
      <c r="B15" s="12" t="s">
        <v>657</v>
      </c>
      <c r="C15" s="12">
        <v>5018.7299999999996</v>
      </c>
      <c r="D15" s="2">
        <f t="shared" si="0"/>
        <v>74.03</v>
      </c>
    </row>
    <row r="16" spans="2:9" x14ac:dyDescent="0.25">
      <c r="B16" s="12" t="s">
        <v>403</v>
      </c>
      <c r="C16" s="12">
        <v>4322.54</v>
      </c>
      <c r="D16" s="2">
        <f t="shared" si="0"/>
        <v>63.76</v>
      </c>
    </row>
    <row r="17" spans="2:4" x14ac:dyDescent="0.25">
      <c r="B17" s="12" t="s">
        <v>658</v>
      </c>
      <c r="C17" s="12">
        <v>4969.74</v>
      </c>
      <c r="D17" s="2">
        <f t="shared" si="0"/>
        <v>73.3</v>
      </c>
    </row>
    <row r="18" spans="2:4" x14ac:dyDescent="0.25">
      <c r="B18" s="12"/>
      <c r="C18" s="12" t="s">
        <v>174</v>
      </c>
      <c r="D18" s="2">
        <f>ROUND(SUM(D5:D17),2)</f>
        <v>952.37</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28947-CD1B-49A9-AFF3-C8C44F3A4882}">
  <sheetPr>
    <tabColor rgb="FF0000FF"/>
  </sheetPr>
  <dimension ref="B2:K17"/>
  <sheetViews>
    <sheetView zoomScale="175" zoomScaleNormal="175" workbookViewId="0">
      <selection activeCell="G8" sqref="G8:K14"/>
    </sheetView>
  </sheetViews>
  <sheetFormatPr defaultRowHeight="15" x14ac:dyDescent="0.25"/>
  <cols>
    <col min="1" max="1" width="2" customWidth="1"/>
    <col min="2" max="2" width="5.42578125" bestFit="1" customWidth="1"/>
    <col min="3" max="3" width="12.140625" customWidth="1"/>
    <col min="4" max="4" width="10.85546875" customWidth="1"/>
    <col min="5" max="5" width="13.7109375" bestFit="1" customWidth="1"/>
    <col min="7" max="7" width="21.42578125" customWidth="1"/>
  </cols>
  <sheetData>
    <row r="2" spans="2:11" x14ac:dyDescent="0.25">
      <c r="B2" s="1" t="s">
        <v>647</v>
      </c>
      <c r="C2" s="28" t="s">
        <v>785</v>
      </c>
      <c r="D2" s="61"/>
      <c r="E2" s="61"/>
      <c r="F2" s="61"/>
      <c r="G2" s="29"/>
    </row>
    <row r="4" spans="2:11" x14ac:dyDescent="0.25">
      <c r="C4" s="62" t="s">
        <v>600</v>
      </c>
      <c r="D4" s="62" t="s">
        <v>39</v>
      </c>
      <c r="E4" s="62" t="s">
        <v>649</v>
      </c>
      <c r="G4" s="157" t="s">
        <v>36</v>
      </c>
    </row>
    <row r="5" spans="2:11" x14ac:dyDescent="0.25">
      <c r="C5" s="12" t="s">
        <v>403</v>
      </c>
      <c r="D5" s="12">
        <v>300</v>
      </c>
      <c r="E5" s="2">
        <f t="shared" ref="E5:E17" si="0">D5*$G$5</f>
        <v>31.424999999999997</v>
      </c>
      <c r="G5" s="159">
        <v>0.10475</v>
      </c>
    </row>
    <row r="6" spans="2:11" x14ac:dyDescent="0.25">
      <c r="C6" s="12" t="s">
        <v>650</v>
      </c>
      <c r="D6" s="12">
        <v>300</v>
      </c>
      <c r="E6" s="2">
        <f t="shared" si="0"/>
        <v>31.424999999999997</v>
      </c>
    </row>
    <row r="7" spans="2:11" x14ac:dyDescent="0.25">
      <c r="C7" s="12" t="s">
        <v>651</v>
      </c>
      <c r="D7" s="12">
        <v>300</v>
      </c>
      <c r="E7" s="2">
        <f t="shared" si="0"/>
        <v>31.424999999999997</v>
      </c>
    </row>
    <row r="8" spans="2:11" x14ac:dyDescent="0.25">
      <c r="C8" s="12" t="s">
        <v>652</v>
      </c>
      <c r="D8" s="12">
        <v>300</v>
      </c>
      <c r="E8" s="2">
        <f t="shared" si="0"/>
        <v>31.424999999999997</v>
      </c>
      <c r="G8" s="195" t="s">
        <v>828</v>
      </c>
      <c r="H8" s="196"/>
      <c r="I8" s="196"/>
      <c r="J8" s="196"/>
      <c r="K8" s="197"/>
    </row>
    <row r="9" spans="2:11" x14ac:dyDescent="0.25">
      <c r="C9" s="12" t="s">
        <v>653</v>
      </c>
      <c r="D9" s="12">
        <v>300</v>
      </c>
      <c r="E9" s="2">
        <f t="shared" si="0"/>
        <v>31.424999999999997</v>
      </c>
      <c r="G9" s="198"/>
      <c r="H9" s="199"/>
      <c r="I9" s="199"/>
      <c r="J9" s="199"/>
      <c r="K9" s="200"/>
    </row>
    <row r="10" spans="2:11" x14ac:dyDescent="0.25">
      <c r="C10" s="12" t="s">
        <v>650</v>
      </c>
      <c r="D10" s="12">
        <v>400</v>
      </c>
      <c r="E10" s="2">
        <f t="shared" si="0"/>
        <v>41.9</v>
      </c>
      <c r="G10" s="198"/>
      <c r="H10" s="199"/>
      <c r="I10" s="199"/>
      <c r="J10" s="199"/>
      <c r="K10" s="200"/>
    </row>
    <row r="11" spans="2:11" x14ac:dyDescent="0.25">
      <c r="C11" s="12" t="s">
        <v>451</v>
      </c>
      <c r="D11" s="12">
        <v>300</v>
      </c>
      <c r="E11" s="2">
        <f t="shared" si="0"/>
        <v>31.424999999999997</v>
      </c>
      <c r="G11" s="198"/>
      <c r="H11" s="199"/>
      <c r="I11" s="199"/>
      <c r="J11" s="199"/>
      <c r="K11" s="200"/>
    </row>
    <row r="12" spans="2:11" x14ac:dyDescent="0.25">
      <c r="C12" s="12" t="s">
        <v>654</v>
      </c>
      <c r="D12" s="12">
        <v>400</v>
      </c>
      <c r="E12" s="2">
        <f t="shared" si="0"/>
        <v>41.9</v>
      </c>
      <c r="G12" s="198"/>
      <c r="H12" s="199"/>
      <c r="I12" s="199"/>
      <c r="J12" s="199"/>
      <c r="K12" s="200"/>
    </row>
    <row r="13" spans="2:11" x14ac:dyDescent="0.25">
      <c r="C13" s="12" t="s">
        <v>655</v>
      </c>
      <c r="D13" s="12">
        <v>300</v>
      </c>
      <c r="E13" s="2">
        <f t="shared" si="0"/>
        <v>31.424999999999997</v>
      </c>
      <c r="G13" s="198"/>
      <c r="H13" s="199"/>
      <c r="I13" s="199"/>
      <c r="J13" s="199"/>
      <c r="K13" s="200"/>
    </row>
    <row r="14" spans="2:11" x14ac:dyDescent="0.25">
      <c r="C14" s="12" t="s">
        <v>656</v>
      </c>
      <c r="D14" s="12">
        <v>400</v>
      </c>
      <c r="E14" s="2">
        <f t="shared" si="0"/>
        <v>41.9</v>
      </c>
      <c r="G14" s="201"/>
      <c r="H14" s="202"/>
      <c r="I14" s="202"/>
      <c r="J14" s="202"/>
      <c r="K14" s="203"/>
    </row>
    <row r="15" spans="2:11" x14ac:dyDescent="0.25">
      <c r="C15" s="12" t="s">
        <v>657</v>
      </c>
      <c r="D15" s="12">
        <v>400</v>
      </c>
      <c r="E15" s="2">
        <f t="shared" si="0"/>
        <v>41.9</v>
      </c>
    </row>
    <row r="16" spans="2:11" x14ac:dyDescent="0.25">
      <c r="C16" s="12" t="s">
        <v>403</v>
      </c>
      <c r="D16" s="12">
        <v>200</v>
      </c>
      <c r="E16" s="2">
        <f t="shared" si="0"/>
        <v>20.95</v>
      </c>
    </row>
    <row r="17" spans="3:5" x14ac:dyDescent="0.25">
      <c r="C17" s="12" t="s">
        <v>658</v>
      </c>
      <c r="D17" s="12">
        <v>400</v>
      </c>
      <c r="E17" s="2">
        <f t="shared" si="0"/>
        <v>41.9</v>
      </c>
    </row>
  </sheetData>
  <mergeCells count="1">
    <mergeCell ref="G8:K14"/>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8F218-9C94-4596-887E-FC0623FA7177}">
  <sheetPr>
    <tabColor rgb="FF0000FF"/>
  </sheetPr>
  <dimension ref="B2:N22"/>
  <sheetViews>
    <sheetView zoomScale="115" zoomScaleNormal="115" workbookViewId="0">
      <selection activeCell="N13" sqref="N13"/>
    </sheetView>
  </sheetViews>
  <sheetFormatPr defaultRowHeight="15" x14ac:dyDescent="0.25"/>
  <cols>
    <col min="1" max="1" width="2.140625" customWidth="1"/>
    <col min="3" max="3" width="13.7109375" customWidth="1"/>
    <col min="6" max="6" width="13.7109375" customWidth="1"/>
    <col min="8" max="8" width="11.28515625" customWidth="1"/>
    <col min="9" max="9" width="11.85546875" customWidth="1"/>
  </cols>
  <sheetData>
    <row r="2" spans="2:14" x14ac:dyDescent="0.25">
      <c r="B2" s="1" t="s">
        <v>784</v>
      </c>
    </row>
    <row r="3" spans="2:14" x14ac:dyDescent="0.25">
      <c r="B3" s="34" t="str">
        <f>"In cell "&amp;ADDRESS(ROW(C14),COLUMN(C14),4)&amp;", create a Single Input-Output Formula to calculate the Tax Amount, then copy the formula down through the range "&amp;ADDRESS(ROW(C14),COLUMN(C14),4)&amp;":"&amp;ADDRESS(ROW(C18),COLUMN(C18),4)&amp;"."</f>
        <v>In cell C14, create a Single Input-Output Formula to calculate the Tax Amount, then copy the formula down through the range C14:C18.</v>
      </c>
      <c r="C3" s="147"/>
      <c r="D3" s="147"/>
      <c r="E3" s="147"/>
      <c r="F3" s="147"/>
      <c r="G3" s="147"/>
      <c r="H3" s="147"/>
      <c r="I3" s="147"/>
      <c r="J3" s="147"/>
      <c r="K3" s="147"/>
      <c r="L3" s="147"/>
      <c r="M3" s="147"/>
      <c r="N3" s="35"/>
    </row>
    <row r="4" spans="2:14" x14ac:dyDescent="0.25">
      <c r="B4" s="151" t="str">
        <f>"In cell "&amp;ADDRESS(ROW(F14),COLUMN(F14),4)&amp;", create a Dynamic Spilled Array Formula to calculate the Tax Amount, then spill the formula down through the range "&amp;ADDRESS(ROW(F14),COLUMN(F14),4)&amp;":"&amp;ADDRESS(ROW(F18),COLUMN(F18),4)&amp;"."</f>
        <v>In cell F14, create a Dynamic Spilled Array Formula to calculate the Tax Amount, then spill the formula down through the range F14:F18.</v>
      </c>
      <c r="C4" s="146"/>
      <c r="D4" s="146"/>
      <c r="E4" s="146"/>
      <c r="F4" s="146"/>
      <c r="G4" s="146"/>
      <c r="H4" s="146"/>
      <c r="I4" s="146"/>
      <c r="J4" s="146"/>
      <c r="K4" s="146"/>
      <c r="L4" s="146"/>
      <c r="M4" s="146"/>
      <c r="N4" s="152"/>
    </row>
    <row r="5" spans="2:14" x14ac:dyDescent="0.25">
      <c r="B5" s="151" t="str">
        <f>"In cell "&amp;ADDRESS(ROW(I14),COLUMN(I14),4)&amp;", create an Excel Table Formula to calculate the Tax Amount for the Excel Table field Tax Amount."</f>
        <v>In cell I14, create an Excel Table Formula to calculate the Tax Amount for the Excel Table field Tax Amount.</v>
      </c>
      <c r="C5" s="146"/>
      <c r="D5" s="146"/>
      <c r="E5" s="146"/>
      <c r="F5" s="146"/>
      <c r="G5" s="146"/>
      <c r="H5" s="146"/>
      <c r="I5" s="146"/>
      <c r="J5" s="146"/>
      <c r="K5" s="146"/>
      <c r="L5" s="146"/>
      <c r="M5" s="146"/>
      <c r="N5" s="152"/>
    </row>
    <row r="6" spans="2:14" x14ac:dyDescent="0.25">
      <c r="B6" s="151" t="str">
        <f>"In cells "&amp;ADDRESS(ROW(C20),COLUMN(C20),4)&amp;", "&amp;ADDRESS(ROW(F20),COLUMN(F20),4)&amp;", "&amp;ADDRESS(ROW(I20),COLUMN(I20),4)&amp;" create the total tax amount for each column."</f>
        <v>In cells C20, F20, I20 create the total tax amount for each column.</v>
      </c>
      <c r="C6" s="146"/>
      <c r="D6" s="146"/>
      <c r="E6" s="146"/>
      <c r="F6" s="146"/>
      <c r="G6" s="146"/>
      <c r="H6" s="146"/>
      <c r="I6" s="146"/>
      <c r="J6" s="146"/>
      <c r="K6" s="146"/>
      <c r="L6" s="146"/>
      <c r="M6" s="146"/>
      <c r="N6" s="152"/>
    </row>
    <row r="7" spans="2:14" x14ac:dyDescent="0.25">
      <c r="B7" s="148"/>
      <c r="C7" s="149"/>
      <c r="D7" s="149"/>
      <c r="E7" s="149"/>
      <c r="F7" s="149"/>
      <c r="G7" s="149"/>
      <c r="H7" s="149"/>
      <c r="I7" s="149"/>
      <c r="J7" s="149"/>
      <c r="K7" s="149"/>
      <c r="L7" s="149"/>
      <c r="M7" s="149"/>
      <c r="N7" s="150"/>
    </row>
    <row r="9" spans="2:14" x14ac:dyDescent="0.25">
      <c r="B9" t="s">
        <v>334</v>
      </c>
      <c r="E9" t="s">
        <v>335</v>
      </c>
      <c r="H9" t="s">
        <v>597</v>
      </c>
    </row>
    <row r="11" spans="2:14" x14ac:dyDescent="0.25">
      <c r="B11" s="157" t="s">
        <v>36</v>
      </c>
      <c r="C11" s="12">
        <v>0.1075</v>
      </c>
      <c r="E11" s="157" t="s">
        <v>36</v>
      </c>
      <c r="F11" s="12">
        <v>0.1075</v>
      </c>
      <c r="H11" s="157" t="s">
        <v>36</v>
      </c>
      <c r="I11" s="12">
        <v>0.1075</v>
      </c>
    </row>
    <row r="13" spans="2:14" x14ac:dyDescent="0.25">
      <c r="B13" s="62" t="s">
        <v>350</v>
      </c>
      <c r="C13" s="62" t="s">
        <v>598</v>
      </c>
      <c r="E13" s="62" t="s">
        <v>350</v>
      </c>
      <c r="F13" s="62" t="s">
        <v>598</v>
      </c>
      <c r="H13" s="1" t="s">
        <v>350</v>
      </c>
      <c r="I13" s="1" t="s">
        <v>598</v>
      </c>
    </row>
    <row r="14" spans="2:14" x14ac:dyDescent="0.25">
      <c r="B14" s="12">
        <v>1049.99</v>
      </c>
      <c r="C14" s="2">
        <f>ROUND(B14*$C$11,2)</f>
        <v>112.87</v>
      </c>
      <c r="E14" s="12">
        <v>1049.99</v>
      </c>
      <c r="F14" s="2" cm="1">
        <f t="array" ref="F14:F18">ROUND(E14:E18*F11,2)</f>
        <v>112.87</v>
      </c>
      <c r="H14">
        <v>1049.99</v>
      </c>
      <c r="I14">
        <f>ROUND(fSalesTest016910[[#This Row],[Sales ($)]]*$I$11,2)</f>
        <v>112.87</v>
      </c>
    </row>
    <row r="15" spans="2:14" x14ac:dyDescent="0.25">
      <c r="B15" s="12">
        <v>1765.21</v>
      </c>
      <c r="C15" s="2">
        <f t="shared" ref="C15:C18" si="0">ROUND(B15*$C$11,2)</f>
        <v>189.76</v>
      </c>
      <c r="E15" s="12">
        <v>1765.21</v>
      </c>
      <c r="F15" s="2">
        <v>189.76</v>
      </c>
      <c r="H15">
        <v>1765.21</v>
      </c>
      <c r="I15">
        <f>ROUND(fSalesTest016910[[#This Row],[Sales ($)]]*$I$11,2)</f>
        <v>189.76</v>
      </c>
    </row>
    <row r="16" spans="2:14" x14ac:dyDescent="0.25">
      <c r="B16" s="12">
        <v>537.03</v>
      </c>
      <c r="C16" s="2">
        <f t="shared" si="0"/>
        <v>57.73</v>
      </c>
      <c r="E16" s="12">
        <v>537.03</v>
      </c>
      <c r="F16" s="2">
        <v>57.73</v>
      </c>
      <c r="H16">
        <v>537.03</v>
      </c>
      <c r="I16">
        <f>ROUND(fSalesTest016910[[#This Row],[Sales ($)]]*$I$11,2)</f>
        <v>57.73</v>
      </c>
    </row>
    <row r="17" spans="2:9" x14ac:dyDescent="0.25">
      <c r="B17" s="12">
        <v>860.03</v>
      </c>
      <c r="C17" s="2">
        <f t="shared" si="0"/>
        <v>92.45</v>
      </c>
      <c r="E17" s="12">
        <v>860.03</v>
      </c>
      <c r="F17" s="2">
        <v>92.45</v>
      </c>
      <c r="H17">
        <v>860.03</v>
      </c>
      <c r="I17">
        <f>ROUND(fSalesTest016910[[#This Row],[Sales ($)]]*$I$11,2)</f>
        <v>92.45</v>
      </c>
    </row>
    <row r="18" spans="2:9" x14ac:dyDescent="0.25">
      <c r="B18" s="12">
        <v>947.61</v>
      </c>
      <c r="C18" s="2">
        <f t="shared" si="0"/>
        <v>101.87</v>
      </c>
      <c r="E18" s="12">
        <v>947.61</v>
      </c>
      <c r="F18" s="2">
        <v>101.87</v>
      </c>
      <c r="H18">
        <v>947.61</v>
      </c>
      <c r="I18">
        <f>ROUND(fSalesTest016910[[#This Row],[Sales ($)]]*$I$11,2)</f>
        <v>101.87</v>
      </c>
    </row>
    <row r="20" spans="2:9" x14ac:dyDescent="0.25">
      <c r="B20" s="62" t="s">
        <v>599</v>
      </c>
      <c r="C20" s="2">
        <f>ROUND(SUM(C14:C18),2)</f>
        <v>554.67999999999995</v>
      </c>
      <c r="E20" s="62" t="s">
        <v>599</v>
      </c>
      <c r="F20" s="2">
        <f>ROUND(SUM(_xlfn.ANCHORARRAY(F14)),2)</f>
        <v>554.67999999999995</v>
      </c>
      <c r="H20" s="62" t="s">
        <v>599</v>
      </c>
      <c r="I20" s="2">
        <f>SUM(fSalesTest016910[Tax Amount ($)])</f>
        <v>554.68000000000006</v>
      </c>
    </row>
    <row r="22" spans="2:9" ht="14.45" customHeight="1" x14ac:dyDescent="0.25"/>
  </sheetData>
  <pageMargins left="0.7" right="0.7" top="0.75" bottom="0.75" header="0.3" footer="0.3"/>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0F594-FCCC-4679-860B-EA7B77699BB4}">
  <sheetPr>
    <tabColor rgb="FF0000FF"/>
  </sheetPr>
  <dimension ref="B2:H106"/>
  <sheetViews>
    <sheetView zoomScale="90" zoomScaleNormal="90" workbookViewId="0">
      <selection activeCell="H13" sqref="H13"/>
    </sheetView>
  </sheetViews>
  <sheetFormatPr defaultRowHeight="15" x14ac:dyDescent="0.25"/>
  <cols>
    <col min="1" max="1" width="0.85546875" customWidth="1"/>
    <col min="2" max="2" width="12.140625" customWidth="1"/>
    <col min="3" max="3" width="35.7109375" bestFit="1" customWidth="1"/>
    <col min="4" max="4" width="3.7109375" customWidth="1"/>
    <col min="5" max="5" width="42.28515625" bestFit="1" customWidth="1"/>
    <col min="6" max="6" width="3.7109375" customWidth="1"/>
    <col min="7" max="7" width="43.5703125" customWidth="1"/>
    <col min="8" max="8" width="44.5703125" bestFit="1" customWidth="1"/>
  </cols>
  <sheetData>
    <row r="2" spans="2:8" x14ac:dyDescent="0.25">
      <c r="B2" s="153" t="s">
        <v>782</v>
      </c>
      <c r="C2" s="147" t="s">
        <v>783</v>
      </c>
      <c r="D2" s="147"/>
      <c r="E2" s="147"/>
      <c r="F2" s="147"/>
      <c r="G2" s="147"/>
      <c r="H2" s="35"/>
    </row>
    <row r="3" spans="2:8" x14ac:dyDescent="0.25">
      <c r="B3" s="154" t="s">
        <v>759</v>
      </c>
      <c r="C3" s="146" t="str">
        <f>"In cell "&amp;ADDRESS(ROW(G7),COLUMN(G7),4)&amp;" create a formula to extract the "&amp;LOWER(E6)&amp;" that were not found in the inventory count"</f>
        <v>In cell G7 create a formula to extract the books in library database that were not found in the inventory count</v>
      </c>
      <c r="D3" s="146"/>
      <c r="E3" s="146"/>
      <c r="F3" s="146"/>
      <c r="G3" s="146"/>
      <c r="H3" s="152"/>
    </row>
    <row r="4" spans="2:8" x14ac:dyDescent="0.25">
      <c r="B4" s="160"/>
      <c r="C4" s="149" t="s">
        <v>760</v>
      </c>
      <c r="D4" s="149"/>
      <c r="E4" s="149"/>
      <c r="F4" s="149"/>
      <c r="G4" s="149"/>
      <c r="H4" s="150"/>
    </row>
    <row r="6" spans="2:8" ht="30" x14ac:dyDescent="0.25">
      <c r="C6" s="71" t="s">
        <v>758</v>
      </c>
      <c r="E6" s="71" t="s">
        <v>659</v>
      </c>
      <c r="G6" s="71" t="s">
        <v>761</v>
      </c>
    </row>
    <row r="7" spans="2:8" x14ac:dyDescent="0.25">
      <c r="C7" s="12" t="s">
        <v>714</v>
      </c>
      <c r="E7" s="12" t="s">
        <v>660</v>
      </c>
      <c r="G7" s="12" t="str" cm="1">
        <f t="array" ref="G7:G19">_xlfn._xlws.FILTER(E7:E106,ISNA(_xlfn.XMATCH(E7:E106,C7:C93)))</f>
        <v>Things Fall Apart</v>
      </c>
      <c r="H7" t="str">
        <f ca="1">_xlfn.IFNA(_xlfn.FORMULATEXT(G7),"")</f>
        <v>=FILTER(E7:E106,ISNA(XMATCH(E7:E106,C7:C93)))</v>
      </c>
    </row>
    <row r="8" spans="2:8" x14ac:dyDescent="0.25">
      <c r="C8" s="12" t="s">
        <v>754</v>
      </c>
      <c r="E8" s="12" t="s">
        <v>661</v>
      </c>
      <c r="G8" s="12" t="str">
        <v>The Book Of Job</v>
      </c>
    </row>
    <row r="9" spans="2:8" x14ac:dyDescent="0.25">
      <c r="C9" s="12" t="s">
        <v>667</v>
      </c>
      <c r="E9" s="12" t="s">
        <v>662</v>
      </c>
      <c r="G9" s="12" t="str">
        <v>Njál's Saga</v>
      </c>
    </row>
    <row r="10" spans="2:8" x14ac:dyDescent="0.25">
      <c r="C10" s="12" t="s">
        <v>744</v>
      </c>
      <c r="E10" s="12" t="s">
        <v>663</v>
      </c>
      <c r="G10" s="12" t="str">
        <v>Molloy, Malone Dies, The Unnamable, the trilogy</v>
      </c>
    </row>
    <row r="11" spans="2:8" x14ac:dyDescent="0.25">
      <c r="C11" s="12" t="s">
        <v>677</v>
      </c>
      <c r="E11" s="12" t="s">
        <v>664</v>
      </c>
      <c r="G11" s="12" t="str">
        <v>Gypsy Ballads</v>
      </c>
    </row>
    <row r="12" spans="2:8" x14ac:dyDescent="0.25">
      <c r="C12" s="12" t="s">
        <v>734</v>
      </c>
      <c r="E12" s="12" t="s">
        <v>665</v>
      </c>
      <c r="G12" s="12" t="str">
        <v>Beloved</v>
      </c>
    </row>
    <row r="13" spans="2:8" x14ac:dyDescent="0.25">
      <c r="C13" s="12" t="s">
        <v>745</v>
      </c>
      <c r="E13" s="12" t="s">
        <v>666</v>
      </c>
      <c r="G13" s="12" t="str">
        <v>Metamorphoses</v>
      </c>
    </row>
    <row r="14" spans="2:8" x14ac:dyDescent="0.25">
      <c r="C14" s="12" t="s">
        <v>678</v>
      </c>
      <c r="E14" s="12" t="s">
        <v>667</v>
      </c>
      <c r="G14" s="12" t="str">
        <v>In Search of Lost Time</v>
      </c>
    </row>
    <row r="15" spans="2:8" x14ac:dyDescent="0.25">
      <c r="C15" s="12" t="s">
        <v>691</v>
      </c>
      <c r="E15" s="12" t="s">
        <v>668</v>
      </c>
      <c r="G15" s="12" t="str">
        <v>Midnight's Children</v>
      </c>
    </row>
    <row r="16" spans="2:8" x14ac:dyDescent="0.25">
      <c r="C16" s="12" t="s">
        <v>673</v>
      </c>
      <c r="E16" s="12" t="s">
        <v>669</v>
      </c>
      <c r="G16" s="12" t="str">
        <v>King Lear</v>
      </c>
    </row>
    <row r="17" spans="3:7" x14ac:dyDescent="0.25">
      <c r="C17" s="12" t="s">
        <v>715</v>
      </c>
      <c r="E17" s="12" t="s">
        <v>670</v>
      </c>
      <c r="G17" s="12" t="str">
        <v>Othello</v>
      </c>
    </row>
    <row r="18" spans="3:7" x14ac:dyDescent="0.25">
      <c r="C18" s="12" t="s">
        <v>727</v>
      </c>
      <c r="E18" s="12" t="s">
        <v>671</v>
      </c>
      <c r="G18" s="12" t="str">
        <v>The Adventures of Huckleberry Finn</v>
      </c>
    </row>
    <row r="19" spans="3:7" x14ac:dyDescent="0.25">
      <c r="C19" s="12" t="s">
        <v>671</v>
      </c>
      <c r="E19" s="12" t="s">
        <v>672</v>
      </c>
      <c r="G19" s="12" t="str">
        <v>The Aeneid</v>
      </c>
    </row>
    <row r="20" spans="3:7" x14ac:dyDescent="0.25">
      <c r="C20" s="12" t="s">
        <v>688</v>
      </c>
      <c r="E20" s="12" t="s">
        <v>673</v>
      </c>
    </row>
    <row r="21" spans="3:7" x14ac:dyDescent="0.25">
      <c r="C21" s="12" t="s">
        <v>679</v>
      </c>
      <c r="E21" s="12" t="s">
        <v>674</v>
      </c>
    </row>
    <row r="22" spans="3:7" x14ac:dyDescent="0.25">
      <c r="C22" s="12" t="s">
        <v>684</v>
      </c>
      <c r="E22" s="12" t="s">
        <v>675</v>
      </c>
    </row>
    <row r="23" spans="3:7" x14ac:dyDescent="0.25">
      <c r="C23" s="12" t="s">
        <v>689</v>
      </c>
      <c r="E23" s="12" t="s">
        <v>676</v>
      </c>
    </row>
    <row r="24" spans="3:7" x14ac:dyDescent="0.25">
      <c r="C24" s="12" t="s">
        <v>676</v>
      </c>
      <c r="E24" s="12" t="s">
        <v>677</v>
      </c>
    </row>
    <row r="25" spans="3:7" x14ac:dyDescent="0.25">
      <c r="C25" s="12" t="s">
        <v>733</v>
      </c>
      <c r="E25" s="12" t="s">
        <v>678</v>
      </c>
    </row>
    <row r="26" spans="3:7" x14ac:dyDescent="0.25">
      <c r="C26" s="12" t="s">
        <v>701</v>
      </c>
      <c r="E26" s="12" t="s">
        <v>679</v>
      </c>
    </row>
    <row r="27" spans="3:7" x14ac:dyDescent="0.25">
      <c r="C27" s="12" t="s">
        <v>705</v>
      </c>
      <c r="E27" s="12" t="s">
        <v>680</v>
      </c>
    </row>
    <row r="28" spans="3:7" x14ac:dyDescent="0.25">
      <c r="C28" s="12" t="s">
        <v>747</v>
      </c>
      <c r="E28" s="12" t="s">
        <v>681</v>
      </c>
    </row>
    <row r="29" spans="3:7" x14ac:dyDescent="0.25">
      <c r="C29" s="12" t="s">
        <v>672</v>
      </c>
      <c r="E29" s="12" t="s">
        <v>682</v>
      </c>
    </row>
    <row r="30" spans="3:7" x14ac:dyDescent="0.25">
      <c r="C30" s="12" t="s">
        <v>706</v>
      </c>
      <c r="E30" s="12" t="s">
        <v>683</v>
      </c>
    </row>
    <row r="31" spans="3:7" x14ac:dyDescent="0.25">
      <c r="C31" s="12" t="s">
        <v>700</v>
      </c>
      <c r="E31" s="12" t="s">
        <v>684</v>
      </c>
    </row>
    <row r="32" spans="3:7" x14ac:dyDescent="0.25">
      <c r="C32" s="12" t="s">
        <v>682</v>
      </c>
      <c r="E32" s="12" t="s">
        <v>685</v>
      </c>
    </row>
    <row r="33" spans="3:5" x14ac:dyDescent="0.25">
      <c r="C33" s="12" t="s">
        <v>686</v>
      </c>
      <c r="E33" s="12" t="s">
        <v>686</v>
      </c>
    </row>
    <row r="34" spans="3:5" x14ac:dyDescent="0.25">
      <c r="C34" s="12" t="s">
        <v>698</v>
      </c>
      <c r="E34" s="12" t="s">
        <v>687</v>
      </c>
    </row>
    <row r="35" spans="3:5" x14ac:dyDescent="0.25">
      <c r="C35" s="12" t="s">
        <v>693</v>
      </c>
      <c r="E35" s="12" t="s">
        <v>688</v>
      </c>
    </row>
    <row r="36" spans="3:5" x14ac:dyDescent="0.25">
      <c r="C36" s="12" t="s">
        <v>751</v>
      </c>
      <c r="E36" s="12" t="s">
        <v>689</v>
      </c>
    </row>
    <row r="37" spans="3:5" x14ac:dyDescent="0.25">
      <c r="C37" s="12" t="s">
        <v>708</v>
      </c>
      <c r="E37" s="12" t="s">
        <v>690</v>
      </c>
    </row>
    <row r="38" spans="3:5" x14ac:dyDescent="0.25">
      <c r="C38" s="12" t="s">
        <v>678</v>
      </c>
      <c r="E38" s="12" t="s">
        <v>691</v>
      </c>
    </row>
    <row r="39" spans="3:5" x14ac:dyDescent="0.25">
      <c r="C39" s="12" t="s">
        <v>696</v>
      </c>
      <c r="E39" s="12" t="s">
        <v>692</v>
      </c>
    </row>
    <row r="40" spans="3:5" x14ac:dyDescent="0.25">
      <c r="C40" s="12" t="s">
        <v>719</v>
      </c>
      <c r="E40" s="12" t="s">
        <v>693</v>
      </c>
    </row>
    <row r="41" spans="3:5" x14ac:dyDescent="0.25">
      <c r="C41" s="12" t="s">
        <v>725</v>
      </c>
      <c r="E41" s="12" t="s">
        <v>694</v>
      </c>
    </row>
    <row r="42" spans="3:5" x14ac:dyDescent="0.25">
      <c r="C42" s="12" t="s">
        <v>662</v>
      </c>
      <c r="E42" s="12" t="s">
        <v>695</v>
      </c>
    </row>
    <row r="43" spans="3:5" x14ac:dyDescent="0.25">
      <c r="C43" s="12" t="s">
        <v>749</v>
      </c>
      <c r="E43" s="12" t="s">
        <v>696</v>
      </c>
    </row>
    <row r="44" spans="3:5" x14ac:dyDescent="0.25">
      <c r="C44" s="12" t="s">
        <v>726</v>
      </c>
      <c r="E44" s="12" t="s">
        <v>697</v>
      </c>
    </row>
    <row r="45" spans="3:5" x14ac:dyDescent="0.25">
      <c r="C45" s="12" t="s">
        <v>756</v>
      </c>
      <c r="E45" s="12" t="s">
        <v>698</v>
      </c>
    </row>
    <row r="46" spans="3:5" x14ac:dyDescent="0.25">
      <c r="C46" s="12" t="s">
        <v>690</v>
      </c>
      <c r="E46" s="12" t="s">
        <v>699</v>
      </c>
    </row>
    <row r="47" spans="3:5" x14ac:dyDescent="0.25">
      <c r="C47" s="12" t="s">
        <v>720</v>
      </c>
      <c r="E47" s="12" t="s">
        <v>700</v>
      </c>
    </row>
    <row r="48" spans="3:5" x14ac:dyDescent="0.25">
      <c r="C48" s="12" t="s">
        <v>707</v>
      </c>
      <c r="E48" s="12" t="s">
        <v>701</v>
      </c>
    </row>
    <row r="49" spans="3:5" x14ac:dyDescent="0.25">
      <c r="C49" s="12" t="s">
        <v>702</v>
      </c>
      <c r="E49" s="12" t="s">
        <v>702</v>
      </c>
    </row>
    <row r="50" spans="3:5" x14ac:dyDescent="0.25">
      <c r="C50" s="12" t="s">
        <v>703</v>
      </c>
      <c r="E50" s="12" t="s">
        <v>703</v>
      </c>
    </row>
    <row r="51" spans="3:5" x14ac:dyDescent="0.25">
      <c r="C51" s="12" t="s">
        <v>722</v>
      </c>
      <c r="E51" s="12" t="s">
        <v>704</v>
      </c>
    </row>
    <row r="52" spans="3:5" x14ac:dyDescent="0.25">
      <c r="C52" s="12" t="s">
        <v>753</v>
      </c>
      <c r="E52" s="12" t="s">
        <v>705</v>
      </c>
    </row>
    <row r="53" spans="3:5" x14ac:dyDescent="0.25">
      <c r="C53" s="12" t="s">
        <v>665</v>
      </c>
      <c r="E53" s="12" t="s">
        <v>706</v>
      </c>
    </row>
    <row r="54" spans="3:5" x14ac:dyDescent="0.25">
      <c r="C54" s="12" t="s">
        <v>687</v>
      </c>
      <c r="E54" s="12" t="s">
        <v>678</v>
      </c>
    </row>
    <row r="55" spans="3:5" x14ac:dyDescent="0.25">
      <c r="C55" s="12" t="s">
        <v>730</v>
      </c>
      <c r="E55" s="12" t="s">
        <v>707</v>
      </c>
    </row>
    <row r="56" spans="3:5" x14ac:dyDescent="0.25">
      <c r="C56" s="12" t="s">
        <v>704</v>
      </c>
      <c r="E56" s="12" t="s">
        <v>708</v>
      </c>
    </row>
    <row r="57" spans="3:5" x14ac:dyDescent="0.25">
      <c r="C57" s="12" t="s">
        <v>709</v>
      </c>
      <c r="E57" s="12" t="s">
        <v>709</v>
      </c>
    </row>
    <row r="58" spans="3:5" x14ac:dyDescent="0.25">
      <c r="C58" s="12" t="s">
        <v>710</v>
      </c>
      <c r="E58" s="12" t="s">
        <v>710</v>
      </c>
    </row>
    <row r="59" spans="3:5" x14ac:dyDescent="0.25">
      <c r="C59" s="12" t="s">
        <v>713</v>
      </c>
      <c r="E59" s="12" t="s">
        <v>711</v>
      </c>
    </row>
    <row r="60" spans="3:5" x14ac:dyDescent="0.25">
      <c r="C60" s="12" t="s">
        <v>746</v>
      </c>
      <c r="E60" s="12" t="s">
        <v>712</v>
      </c>
    </row>
    <row r="61" spans="3:5" x14ac:dyDescent="0.25">
      <c r="C61" s="12" t="s">
        <v>716</v>
      </c>
      <c r="E61" s="12" t="s">
        <v>713</v>
      </c>
    </row>
    <row r="62" spans="3:5" x14ac:dyDescent="0.25">
      <c r="C62" s="12" t="s">
        <v>697</v>
      </c>
      <c r="E62" s="12" t="s">
        <v>674</v>
      </c>
    </row>
    <row r="63" spans="3:5" x14ac:dyDescent="0.25">
      <c r="C63" s="12" t="s">
        <v>732</v>
      </c>
      <c r="E63" s="12" t="s">
        <v>714</v>
      </c>
    </row>
    <row r="64" spans="3:5" x14ac:dyDescent="0.25">
      <c r="C64" s="12" t="s">
        <v>699</v>
      </c>
      <c r="E64" s="12" t="s">
        <v>715</v>
      </c>
    </row>
    <row r="65" spans="3:5" x14ac:dyDescent="0.25">
      <c r="C65" s="12" t="s">
        <v>742</v>
      </c>
      <c r="E65" s="12" t="s">
        <v>716</v>
      </c>
    </row>
    <row r="66" spans="3:5" x14ac:dyDescent="0.25">
      <c r="C66" s="12" t="s">
        <v>685</v>
      </c>
      <c r="E66" s="12" t="s">
        <v>717</v>
      </c>
    </row>
    <row r="67" spans="3:5" x14ac:dyDescent="0.25">
      <c r="C67" s="12" t="s">
        <v>670</v>
      </c>
      <c r="E67" s="12" t="s">
        <v>718</v>
      </c>
    </row>
    <row r="68" spans="3:5" x14ac:dyDescent="0.25">
      <c r="C68" s="12" t="s">
        <v>736</v>
      </c>
      <c r="E68" s="12" t="s">
        <v>719</v>
      </c>
    </row>
    <row r="69" spans="3:5" x14ac:dyDescent="0.25">
      <c r="C69" s="12" t="s">
        <v>737</v>
      </c>
      <c r="E69" s="12" t="s">
        <v>720</v>
      </c>
    </row>
    <row r="70" spans="3:5" x14ac:dyDescent="0.25">
      <c r="C70" s="12" t="s">
        <v>739</v>
      </c>
      <c r="E70" s="12" t="s">
        <v>721</v>
      </c>
    </row>
    <row r="71" spans="3:5" x14ac:dyDescent="0.25">
      <c r="C71" s="12" t="s">
        <v>668</v>
      </c>
      <c r="E71" s="12" t="s">
        <v>722</v>
      </c>
    </row>
    <row r="72" spans="3:5" x14ac:dyDescent="0.25">
      <c r="C72" s="12" t="s">
        <v>674</v>
      </c>
      <c r="E72" s="12" t="s">
        <v>723</v>
      </c>
    </row>
    <row r="73" spans="3:5" x14ac:dyDescent="0.25">
      <c r="C73" s="12" t="s">
        <v>663</v>
      </c>
      <c r="E73" s="12" t="s">
        <v>724</v>
      </c>
    </row>
    <row r="74" spans="3:5" x14ac:dyDescent="0.25">
      <c r="C74" s="12" t="s">
        <v>757</v>
      </c>
      <c r="E74" s="12" t="s">
        <v>725</v>
      </c>
    </row>
    <row r="75" spans="3:5" x14ac:dyDescent="0.25">
      <c r="C75" s="12" t="s">
        <v>718</v>
      </c>
      <c r="E75" s="12" t="s">
        <v>726</v>
      </c>
    </row>
    <row r="76" spans="3:5" x14ac:dyDescent="0.25">
      <c r="C76" s="12" t="s">
        <v>683</v>
      </c>
      <c r="E76" s="12" t="s">
        <v>727</v>
      </c>
    </row>
    <row r="77" spans="3:5" x14ac:dyDescent="0.25">
      <c r="C77" s="12" t="s">
        <v>721</v>
      </c>
      <c r="E77" s="12" t="s">
        <v>728</v>
      </c>
    </row>
    <row r="78" spans="3:5" x14ac:dyDescent="0.25">
      <c r="C78" s="12" t="s">
        <v>755</v>
      </c>
      <c r="E78" s="12" t="s">
        <v>729</v>
      </c>
    </row>
    <row r="79" spans="3:5" x14ac:dyDescent="0.25">
      <c r="C79" s="12" t="s">
        <v>717</v>
      </c>
      <c r="E79" s="12" t="s">
        <v>730</v>
      </c>
    </row>
    <row r="80" spans="3:5" x14ac:dyDescent="0.25">
      <c r="C80" s="12" t="s">
        <v>729</v>
      </c>
      <c r="E80" s="12" t="s">
        <v>731</v>
      </c>
    </row>
    <row r="81" spans="3:5" x14ac:dyDescent="0.25">
      <c r="C81" s="12" t="s">
        <v>661</v>
      </c>
      <c r="E81" s="12" t="s">
        <v>732</v>
      </c>
    </row>
    <row r="82" spans="3:5" x14ac:dyDescent="0.25">
      <c r="C82" s="12" t="s">
        <v>692</v>
      </c>
      <c r="E82" s="12" t="s">
        <v>733</v>
      </c>
    </row>
    <row r="83" spans="3:5" x14ac:dyDescent="0.25">
      <c r="C83" s="12" t="s">
        <v>743</v>
      </c>
      <c r="E83" s="12" t="s">
        <v>734</v>
      </c>
    </row>
    <row r="84" spans="3:5" x14ac:dyDescent="0.25">
      <c r="C84" s="12" t="s">
        <v>712</v>
      </c>
      <c r="E84" s="12" t="s">
        <v>735</v>
      </c>
    </row>
    <row r="85" spans="3:5" x14ac:dyDescent="0.25">
      <c r="C85" s="12" t="s">
        <v>724</v>
      </c>
      <c r="E85" s="12" t="s">
        <v>736</v>
      </c>
    </row>
    <row r="86" spans="3:5" x14ac:dyDescent="0.25">
      <c r="C86" s="12" t="s">
        <v>748</v>
      </c>
      <c r="E86" s="12" t="s">
        <v>737</v>
      </c>
    </row>
    <row r="87" spans="3:5" x14ac:dyDescent="0.25">
      <c r="C87" s="12" t="s">
        <v>711</v>
      </c>
      <c r="E87" s="12" t="s">
        <v>738</v>
      </c>
    </row>
    <row r="88" spans="3:5" x14ac:dyDescent="0.25">
      <c r="C88" s="12" t="s">
        <v>695</v>
      </c>
      <c r="E88" s="12" t="s">
        <v>739</v>
      </c>
    </row>
    <row r="89" spans="3:5" x14ac:dyDescent="0.25">
      <c r="C89" s="12" t="s">
        <v>674</v>
      </c>
      <c r="E89" s="12" t="s">
        <v>740</v>
      </c>
    </row>
    <row r="90" spans="3:5" x14ac:dyDescent="0.25">
      <c r="C90" s="12" t="s">
        <v>681</v>
      </c>
      <c r="E90" s="12" t="s">
        <v>741</v>
      </c>
    </row>
    <row r="91" spans="3:5" x14ac:dyDescent="0.25">
      <c r="C91" s="12" t="s">
        <v>675</v>
      </c>
      <c r="E91" s="12" t="s">
        <v>742</v>
      </c>
    </row>
    <row r="92" spans="3:5" x14ac:dyDescent="0.25">
      <c r="C92" s="12" t="s">
        <v>680</v>
      </c>
      <c r="E92" s="12" t="s">
        <v>743</v>
      </c>
    </row>
    <row r="93" spans="3:5" x14ac:dyDescent="0.25">
      <c r="C93" s="12" t="s">
        <v>738</v>
      </c>
      <c r="E93" s="12" t="s">
        <v>744</v>
      </c>
    </row>
    <row r="94" spans="3:5" x14ac:dyDescent="0.25">
      <c r="E94" s="12" t="s">
        <v>745</v>
      </c>
    </row>
    <row r="95" spans="3:5" x14ac:dyDescent="0.25">
      <c r="E95" s="12" t="s">
        <v>746</v>
      </c>
    </row>
    <row r="96" spans="3:5" x14ac:dyDescent="0.25">
      <c r="E96" s="12" t="s">
        <v>747</v>
      </c>
    </row>
    <row r="97" spans="5:5" x14ac:dyDescent="0.25">
      <c r="E97" s="12" t="s">
        <v>748</v>
      </c>
    </row>
    <row r="98" spans="5:5" x14ac:dyDescent="0.25">
      <c r="E98" s="12" t="s">
        <v>749</v>
      </c>
    </row>
    <row r="99" spans="5:5" x14ac:dyDescent="0.25">
      <c r="E99" s="12" t="s">
        <v>750</v>
      </c>
    </row>
    <row r="100" spans="5:5" x14ac:dyDescent="0.25">
      <c r="E100" s="12" t="s">
        <v>751</v>
      </c>
    </row>
    <row r="101" spans="5:5" x14ac:dyDescent="0.25">
      <c r="E101" s="12" t="s">
        <v>752</v>
      </c>
    </row>
    <row r="102" spans="5:5" x14ac:dyDescent="0.25">
      <c r="E102" s="12" t="s">
        <v>753</v>
      </c>
    </row>
    <row r="103" spans="5:5" x14ac:dyDescent="0.25">
      <c r="E103" s="12" t="s">
        <v>754</v>
      </c>
    </row>
    <row r="104" spans="5:5" x14ac:dyDescent="0.25">
      <c r="E104" s="12" t="s">
        <v>755</v>
      </c>
    </row>
    <row r="105" spans="5:5" x14ac:dyDescent="0.25">
      <c r="E105" s="12" t="s">
        <v>756</v>
      </c>
    </row>
    <row r="106" spans="5:5" x14ac:dyDescent="0.25">
      <c r="E106" s="12" t="s">
        <v>757</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66ECE-1A42-48CF-8E9E-00EDEFDFC0E2}">
  <sheetPr>
    <tabColor rgb="FF0000FF"/>
  </sheetPr>
  <dimension ref="B2:M64"/>
  <sheetViews>
    <sheetView workbookViewId="0">
      <selection activeCell="K36" sqref="K36"/>
    </sheetView>
  </sheetViews>
  <sheetFormatPr defaultRowHeight="15" x14ac:dyDescent="0.25"/>
  <cols>
    <col min="1" max="1" width="3.7109375" customWidth="1"/>
    <col min="2" max="2" width="15.7109375" customWidth="1"/>
    <col min="3" max="3" width="15.42578125" customWidth="1"/>
    <col min="4" max="4" width="8.28515625" bestFit="1" customWidth="1"/>
    <col min="5" max="5" width="11" bestFit="1" customWidth="1"/>
    <col min="6" max="6" width="6.140625" bestFit="1" customWidth="1"/>
    <col min="7" max="7" width="15.42578125" customWidth="1"/>
  </cols>
  <sheetData>
    <row r="2" spans="2:13" x14ac:dyDescent="0.25">
      <c r="B2" s="28" t="s">
        <v>781</v>
      </c>
      <c r="C2" s="61"/>
      <c r="D2" s="61"/>
      <c r="E2" s="61"/>
      <c r="F2" s="61"/>
      <c r="G2" s="29"/>
    </row>
    <row r="4" spans="2:13" ht="15.75" thickBot="1" x14ac:dyDescent="0.3"/>
    <row r="5" spans="2:13" x14ac:dyDescent="0.25">
      <c r="B5" s="22" t="s">
        <v>589</v>
      </c>
      <c r="C5" s="22" t="s">
        <v>626</v>
      </c>
      <c r="D5" s="22" t="s">
        <v>608</v>
      </c>
      <c r="E5" s="22" t="s">
        <v>449</v>
      </c>
      <c r="F5" s="22" t="s">
        <v>609</v>
      </c>
      <c r="G5" s="22" t="s">
        <v>643</v>
      </c>
      <c r="I5" s="204" t="s">
        <v>829</v>
      </c>
      <c r="J5" s="205"/>
      <c r="K5" s="205"/>
      <c r="L5" s="205"/>
      <c r="M5" s="206"/>
    </row>
    <row r="6" spans="2:13" x14ac:dyDescent="0.25">
      <c r="B6" s="12" t="s">
        <v>612</v>
      </c>
      <c r="C6" s="12" t="s">
        <v>628</v>
      </c>
      <c r="D6" s="12" t="s">
        <v>613</v>
      </c>
      <c r="E6" s="12" t="s">
        <v>614</v>
      </c>
      <c r="F6" s="24" t="s">
        <v>762</v>
      </c>
      <c r="G6" s="24" t="s">
        <v>778</v>
      </c>
      <c r="I6" s="207"/>
      <c r="J6" s="208"/>
      <c r="K6" s="208"/>
      <c r="L6" s="208"/>
      <c r="M6" s="209"/>
    </row>
    <row r="7" spans="2:13" x14ac:dyDescent="0.25">
      <c r="B7" s="12" t="s">
        <v>632</v>
      </c>
      <c r="C7" s="12" t="s">
        <v>627</v>
      </c>
      <c r="D7" s="12" t="s">
        <v>623</v>
      </c>
      <c r="E7" s="12" t="s">
        <v>614</v>
      </c>
      <c r="F7" s="24" t="s">
        <v>776</v>
      </c>
      <c r="G7" s="24" t="s">
        <v>778</v>
      </c>
      <c r="I7" s="207"/>
      <c r="J7" s="208"/>
      <c r="K7" s="208"/>
      <c r="L7" s="208"/>
      <c r="M7" s="209"/>
    </row>
    <row r="8" spans="2:13" x14ac:dyDescent="0.25">
      <c r="B8" s="12" t="s">
        <v>624</v>
      </c>
      <c r="C8" s="12" t="s">
        <v>630</v>
      </c>
      <c r="D8" s="12" t="s">
        <v>636</v>
      </c>
      <c r="E8" s="12" t="s">
        <v>452</v>
      </c>
      <c r="F8" s="24" t="s">
        <v>763</v>
      </c>
      <c r="G8" s="24" t="s">
        <v>779</v>
      </c>
      <c r="I8" s="207"/>
      <c r="J8" s="208"/>
      <c r="K8" s="208"/>
      <c r="L8" s="208"/>
      <c r="M8" s="209"/>
    </row>
    <row r="9" spans="2:13" x14ac:dyDescent="0.25">
      <c r="B9" s="12" t="s">
        <v>634</v>
      </c>
      <c r="C9" s="12"/>
      <c r="D9" s="12" t="s">
        <v>617</v>
      </c>
      <c r="E9" s="12" t="s">
        <v>452</v>
      </c>
      <c r="F9" s="24" t="s">
        <v>764</v>
      </c>
      <c r="G9" s="24" t="s">
        <v>778</v>
      </c>
      <c r="I9" s="207"/>
      <c r="J9" s="208"/>
      <c r="K9" s="208"/>
      <c r="L9" s="208"/>
      <c r="M9" s="209"/>
    </row>
    <row r="10" spans="2:13" x14ac:dyDescent="0.25">
      <c r="B10" s="12" t="s">
        <v>634</v>
      </c>
      <c r="C10" s="12" t="s">
        <v>628</v>
      </c>
      <c r="D10" s="12" t="s">
        <v>613</v>
      </c>
      <c r="E10" s="12" t="s">
        <v>614</v>
      </c>
      <c r="F10" s="24" t="s">
        <v>765</v>
      </c>
      <c r="G10" s="24" t="s">
        <v>778</v>
      </c>
      <c r="I10" s="207"/>
      <c r="J10" s="208"/>
      <c r="K10" s="208"/>
      <c r="L10" s="208"/>
      <c r="M10" s="209"/>
    </row>
    <row r="11" spans="2:13" x14ac:dyDescent="0.25">
      <c r="B11" s="12" t="s">
        <v>633</v>
      </c>
      <c r="C11" s="12"/>
      <c r="D11" s="12" t="s">
        <v>639</v>
      </c>
      <c r="E11" s="12" t="s">
        <v>622</v>
      </c>
      <c r="F11" s="24" t="s">
        <v>766</v>
      </c>
      <c r="G11" s="24" t="s">
        <v>778</v>
      </c>
      <c r="I11" s="207"/>
      <c r="J11" s="208"/>
      <c r="K11" s="208"/>
      <c r="L11" s="208"/>
      <c r="M11" s="209"/>
    </row>
    <row r="12" spans="2:13" x14ac:dyDescent="0.25">
      <c r="B12" s="12" t="s">
        <v>631</v>
      </c>
      <c r="C12" s="12" t="s">
        <v>630</v>
      </c>
      <c r="D12" s="12" t="s">
        <v>625</v>
      </c>
      <c r="E12" s="12" t="s">
        <v>622</v>
      </c>
      <c r="F12" s="24" t="s">
        <v>767</v>
      </c>
      <c r="G12" s="24" t="s">
        <v>779</v>
      </c>
      <c r="I12" s="207"/>
      <c r="J12" s="208"/>
      <c r="K12" s="208"/>
      <c r="L12" s="208"/>
      <c r="M12" s="209"/>
    </row>
    <row r="13" spans="2:13" x14ac:dyDescent="0.25">
      <c r="B13" s="12" t="s">
        <v>610</v>
      </c>
      <c r="C13" s="12" t="s">
        <v>627</v>
      </c>
      <c r="D13" s="12" t="s">
        <v>637</v>
      </c>
      <c r="E13" s="12" t="s">
        <v>614</v>
      </c>
      <c r="F13" s="24" t="s">
        <v>768</v>
      </c>
      <c r="G13" s="24" t="s">
        <v>779</v>
      </c>
      <c r="I13" s="207"/>
      <c r="J13" s="208"/>
      <c r="K13" s="208"/>
      <c r="L13" s="208"/>
      <c r="M13" s="209"/>
    </row>
    <row r="14" spans="2:13" x14ac:dyDescent="0.25">
      <c r="B14" s="12" t="s">
        <v>633</v>
      </c>
      <c r="C14" s="12" t="s">
        <v>629</v>
      </c>
      <c r="D14" s="12" t="s">
        <v>636</v>
      </c>
      <c r="E14" s="12" t="s">
        <v>452</v>
      </c>
      <c r="F14" s="24" t="s">
        <v>769</v>
      </c>
      <c r="G14" s="24" t="s">
        <v>778</v>
      </c>
      <c r="I14" s="207"/>
      <c r="J14" s="208"/>
      <c r="K14" s="208"/>
      <c r="L14" s="208"/>
      <c r="M14" s="209"/>
    </row>
    <row r="15" spans="2:13" ht="15.75" thickBot="1" x14ac:dyDescent="0.3">
      <c r="B15" s="12" t="s">
        <v>631</v>
      </c>
      <c r="C15" s="12" t="s">
        <v>630</v>
      </c>
      <c r="D15" s="12" t="s">
        <v>639</v>
      </c>
      <c r="E15" s="12" t="s">
        <v>622</v>
      </c>
      <c r="F15" s="24" t="s">
        <v>762</v>
      </c>
      <c r="G15" s="24" t="s">
        <v>779</v>
      </c>
      <c r="I15" s="210"/>
      <c r="J15" s="211"/>
      <c r="K15" s="211"/>
      <c r="L15" s="211"/>
      <c r="M15" s="212"/>
    </row>
    <row r="16" spans="2:13" x14ac:dyDescent="0.25">
      <c r="B16" s="12" t="s">
        <v>610</v>
      </c>
      <c r="C16" s="12" t="s">
        <v>627</v>
      </c>
      <c r="D16" s="12" t="s">
        <v>618</v>
      </c>
      <c r="E16" s="12" t="s">
        <v>614</v>
      </c>
      <c r="F16" s="24" t="s">
        <v>770</v>
      </c>
      <c r="G16" s="24" t="s">
        <v>779</v>
      </c>
    </row>
    <row r="17" spans="2:7" x14ac:dyDescent="0.25">
      <c r="B17" s="12" t="s">
        <v>632</v>
      </c>
      <c r="C17" s="12" t="s">
        <v>627</v>
      </c>
      <c r="D17" s="12" t="s">
        <v>637</v>
      </c>
      <c r="E17" s="12" t="s">
        <v>614</v>
      </c>
      <c r="F17" s="24" t="s">
        <v>771</v>
      </c>
      <c r="G17" s="24" t="s">
        <v>778</v>
      </c>
    </row>
    <row r="18" spans="2:7" x14ac:dyDescent="0.25">
      <c r="B18" s="12" t="s">
        <v>634</v>
      </c>
      <c r="C18" s="12" t="s">
        <v>628</v>
      </c>
      <c r="D18" s="12" t="s">
        <v>611</v>
      </c>
      <c r="E18" s="12" t="s">
        <v>452</v>
      </c>
      <c r="F18" s="24" t="s">
        <v>767</v>
      </c>
      <c r="G18" s="24" t="s">
        <v>778</v>
      </c>
    </row>
    <row r="19" spans="2:7" x14ac:dyDescent="0.25">
      <c r="B19" s="12" t="s">
        <v>631</v>
      </c>
      <c r="C19" s="12" t="s">
        <v>630</v>
      </c>
      <c r="D19" s="12" t="s">
        <v>637</v>
      </c>
      <c r="E19" s="12" t="s">
        <v>614</v>
      </c>
      <c r="F19" s="24" t="s">
        <v>772</v>
      </c>
      <c r="G19" s="24" t="s">
        <v>779</v>
      </c>
    </row>
    <row r="20" spans="2:7" x14ac:dyDescent="0.25">
      <c r="B20" s="12" t="s">
        <v>624</v>
      </c>
      <c r="C20" s="12" t="s">
        <v>630</v>
      </c>
      <c r="D20" s="12" t="s">
        <v>639</v>
      </c>
      <c r="E20" s="12" t="s">
        <v>622</v>
      </c>
      <c r="F20" s="24" t="s">
        <v>769</v>
      </c>
      <c r="G20" s="24" t="s">
        <v>779</v>
      </c>
    </row>
    <row r="21" spans="2:7" x14ac:dyDescent="0.25">
      <c r="B21" s="12" t="s">
        <v>634</v>
      </c>
      <c r="C21" s="12" t="s">
        <v>628</v>
      </c>
      <c r="D21" s="12" t="s">
        <v>616</v>
      </c>
      <c r="E21" s="12" t="s">
        <v>614</v>
      </c>
      <c r="F21" s="24" t="s">
        <v>765</v>
      </c>
      <c r="G21" s="24" t="s">
        <v>778</v>
      </c>
    </row>
    <row r="22" spans="2:7" x14ac:dyDescent="0.25">
      <c r="B22" s="12" t="s">
        <v>634</v>
      </c>
      <c r="C22" s="12" t="s">
        <v>628</v>
      </c>
      <c r="D22" s="12" t="s">
        <v>636</v>
      </c>
      <c r="E22" s="12" t="s">
        <v>452</v>
      </c>
      <c r="F22" s="24" t="s">
        <v>773</v>
      </c>
      <c r="G22" s="24" t="s">
        <v>778</v>
      </c>
    </row>
    <row r="23" spans="2:7" x14ac:dyDescent="0.25">
      <c r="B23" s="12" t="s">
        <v>635</v>
      </c>
      <c r="C23" s="12" t="s">
        <v>630</v>
      </c>
      <c r="D23" s="12" t="s">
        <v>621</v>
      </c>
      <c r="E23" s="12" t="s">
        <v>622</v>
      </c>
      <c r="F23" s="24" t="s">
        <v>774</v>
      </c>
      <c r="G23" s="24" t="s">
        <v>779</v>
      </c>
    </row>
    <row r="24" spans="2:7" x14ac:dyDescent="0.25">
      <c r="B24" s="12" t="s">
        <v>610</v>
      </c>
      <c r="C24" s="12" t="s">
        <v>627</v>
      </c>
      <c r="D24" s="12" t="s">
        <v>636</v>
      </c>
      <c r="E24" s="12" t="s">
        <v>452</v>
      </c>
      <c r="F24" s="24" t="s">
        <v>585</v>
      </c>
      <c r="G24" s="24" t="s">
        <v>779</v>
      </c>
    </row>
    <row r="25" spans="2:7" x14ac:dyDescent="0.25">
      <c r="B25" s="12" t="s">
        <v>634</v>
      </c>
      <c r="C25" s="12" t="s">
        <v>628</v>
      </c>
      <c r="D25" s="12" t="s">
        <v>638</v>
      </c>
      <c r="E25" s="12" t="s">
        <v>452</v>
      </c>
      <c r="F25" s="24" t="s">
        <v>775</v>
      </c>
      <c r="G25" s="24" t="s">
        <v>778</v>
      </c>
    </row>
    <row r="26" spans="2:7" x14ac:dyDescent="0.25">
      <c r="B26" s="12" t="s">
        <v>624</v>
      </c>
      <c r="C26" s="12" t="s">
        <v>630</v>
      </c>
      <c r="D26" s="12" t="s">
        <v>638</v>
      </c>
      <c r="E26" s="12" t="s">
        <v>452</v>
      </c>
      <c r="F26" s="24" t="s">
        <v>776</v>
      </c>
      <c r="G26" s="24" t="s">
        <v>779</v>
      </c>
    </row>
    <row r="27" spans="2:7" x14ac:dyDescent="0.25">
      <c r="B27" s="12" t="s">
        <v>612</v>
      </c>
      <c r="C27" s="12" t="s">
        <v>628</v>
      </c>
      <c r="D27" s="12" t="s">
        <v>640</v>
      </c>
      <c r="E27" s="12" t="s">
        <v>620</v>
      </c>
      <c r="F27" s="24" t="s">
        <v>584</v>
      </c>
      <c r="G27" s="24" t="s">
        <v>778</v>
      </c>
    </row>
    <row r="28" spans="2:7" x14ac:dyDescent="0.25">
      <c r="B28" s="12" t="s">
        <v>634</v>
      </c>
      <c r="C28" s="12" t="s">
        <v>628</v>
      </c>
      <c r="D28" s="12" t="s">
        <v>640</v>
      </c>
      <c r="E28" s="12" t="s">
        <v>620</v>
      </c>
      <c r="F28" s="24" t="s">
        <v>766</v>
      </c>
      <c r="G28" s="24" t="s">
        <v>778</v>
      </c>
    </row>
    <row r="29" spans="2:7" x14ac:dyDescent="0.25">
      <c r="B29" s="12" t="s">
        <v>635</v>
      </c>
      <c r="C29" s="12" t="s">
        <v>630</v>
      </c>
      <c r="D29" s="12" t="s">
        <v>613</v>
      </c>
      <c r="E29" s="12" t="s">
        <v>614</v>
      </c>
      <c r="F29" s="24" t="s">
        <v>768</v>
      </c>
      <c r="G29" s="24" t="s">
        <v>779</v>
      </c>
    </row>
    <row r="30" spans="2:7" x14ac:dyDescent="0.25">
      <c r="B30" s="12" t="s">
        <v>612</v>
      </c>
      <c r="C30" s="12" t="s">
        <v>628</v>
      </c>
      <c r="D30" s="12" t="s">
        <v>621</v>
      </c>
      <c r="E30" s="12" t="s">
        <v>622</v>
      </c>
      <c r="F30" s="24" t="s">
        <v>773</v>
      </c>
      <c r="G30" s="24" t="s">
        <v>778</v>
      </c>
    </row>
    <row r="31" spans="2:7" x14ac:dyDescent="0.25">
      <c r="B31" s="12" t="s">
        <v>634</v>
      </c>
      <c r="C31" s="12" t="s">
        <v>628</v>
      </c>
      <c r="D31" s="12" t="s">
        <v>639</v>
      </c>
      <c r="E31" s="12" t="s">
        <v>622</v>
      </c>
      <c r="F31" s="24" t="s">
        <v>765</v>
      </c>
      <c r="G31" s="24" t="s">
        <v>778</v>
      </c>
    </row>
    <row r="32" spans="2:7" x14ac:dyDescent="0.25">
      <c r="B32" s="12" t="s">
        <v>610</v>
      </c>
      <c r="C32" s="12" t="s">
        <v>627</v>
      </c>
      <c r="D32" s="12" t="s">
        <v>640</v>
      </c>
      <c r="E32" s="12" t="s">
        <v>620</v>
      </c>
      <c r="F32" s="24" t="s">
        <v>776</v>
      </c>
      <c r="G32" s="24" t="s">
        <v>779</v>
      </c>
    </row>
    <row r="33" spans="2:7" x14ac:dyDescent="0.25">
      <c r="B33" s="12" t="s">
        <v>632</v>
      </c>
      <c r="C33" s="12" t="s">
        <v>627</v>
      </c>
      <c r="D33" s="12" t="s">
        <v>619</v>
      </c>
      <c r="E33" s="12" t="s">
        <v>620</v>
      </c>
      <c r="F33" s="24" t="s">
        <v>764</v>
      </c>
      <c r="G33" s="24" t="s">
        <v>778</v>
      </c>
    </row>
    <row r="34" spans="2:7" x14ac:dyDescent="0.25">
      <c r="B34" s="12" t="s">
        <v>635</v>
      </c>
      <c r="C34" s="12" t="s">
        <v>630</v>
      </c>
      <c r="D34" s="12" t="s">
        <v>640</v>
      </c>
      <c r="E34" s="12" t="s">
        <v>620</v>
      </c>
      <c r="F34" s="24" t="s">
        <v>772</v>
      </c>
      <c r="G34" s="24" t="s">
        <v>779</v>
      </c>
    </row>
    <row r="35" spans="2:7" x14ac:dyDescent="0.25">
      <c r="B35" s="12" t="s">
        <v>632</v>
      </c>
      <c r="C35" s="12" t="s">
        <v>627</v>
      </c>
      <c r="D35" s="12" t="s">
        <v>611</v>
      </c>
      <c r="E35" s="12" t="s">
        <v>452</v>
      </c>
      <c r="F35" s="24" t="s">
        <v>584</v>
      </c>
      <c r="G35" s="24" t="s">
        <v>778</v>
      </c>
    </row>
    <row r="36" spans="2:7" x14ac:dyDescent="0.25">
      <c r="B36" s="12" t="s">
        <v>615</v>
      </c>
      <c r="C36" s="12" t="s">
        <v>629</v>
      </c>
      <c r="D36" s="12" t="s">
        <v>639</v>
      </c>
      <c r="E36" s="12" t="s">
        <v>622</v>
      </c>
      <c r="F36" s="24" t="s">
        <v>767</v>
      </c>
      <c r="G36" s="24" t="s">
        <v>778</v>
      </c>
    </row>
    <row r="37" spans="2:7" x14ac:dyDescent="0.25">
      <c r="B37" s="12" t="s">
        <v>612</v>
      </c>
      <c r="C37" s="12" t="s">
        <v>628</v>
      </c>
      <c r="D37" s="12" t="s">
        <v>637</v>
      </c>
      <c r="E37" s="12" t="s">
        <v>614</v>
      </c>
      <c r="F37" s="24" t="s">
        <v>772</v>
      </c>
      <c r="G37" s="24" t="s">
        <v>778</v>
      </c>
    </row>
    <row r="38" spans="2:7" x14ac:dyDescent="0.25">
      <c r="B38" s="12" t="s">
        <v>612</v>
      </c>
      <c r="C38" s="12" t="s">
        <v>628</v>
      </c>
      <c r="D38" s="12" t="s">
        <v>616</v>
      </c>
      <c r="E38" s="12" t="s">
        <v>614</v>
      </c>
      <c r="F38" s="24" t="s">
        <v>764</v>
      </c>
      <c r="G38" s="24" t="s">
        <v>778</v>
      </c>
    </row>
    <row r="39" spans="2:7" x14ac:dyDescent="0.25">
      <c r="B39" s="12" t="s">
        <v>615</v>
      </c>
      <c r="C39" s="12"/>
      <c r="D39" s="12" t="s">
        <v>625</v>
      </c>
      <c r="E39" s="12" t="s">
        <v>622</v>
      </c>
      <c r="F39" s="24" t="s">
        <v>777</v>
      </c>
      <c r="G39" s="24" t="s">
        <v>778</v>
      </c>
    </row>
    <row r="40" spans="2:7" x14ac:dyDescent="0.25">
      <c r="B40" s="12" t="s">
        <v>610</v>
      </c>
      <c r="C40" s="12" t="s">
        <v>627</v>
      </c>
      <c r="D40" s="12" t="s">
        <v>623</v>
      </c>
      <c r="E40" s="12" t="s">
        <v>614</v>
      </c>
      <c r="F40" s="24" t="s">
        <v>762</v>
      </c>
      <c r="G40" s="24" t="s">
        <v>779</v>
      </c>
    </row>
    <row r="41" spans="2:7" x14ac:dyDescent="0.25">
      <c r="B41" s="12" t="s">
        <v>634</v>
      </c>
      <c r="C41" s="12" t="s">
        <v>628</v>
      </c>
      <c r="D41" s="12" t="s">
        <v>621</v>
      </c>
      <c r="E41" s="12" t="s">
        <v>622</v>
      </c>
      <c r="F41" s="24" t="s">
        <v>770</v>
      </c>
      <c r="G41" s="24" t="s">
        <v>778</v>
      </c>
    </row>
    <row r="42" spans="2:7" x14ac:dyDescent="0.25">
      <c r="B42" s="12" t="s">
        <v>632</v>
      </c>
      <c r="C42" s="12" t="s">
        <v>627</v>
      </c>
      <c r="D42" s="12" t="s">
        <v>625</v>
      </c>
      <c r="E42" s="12" t="s">
        <v>622</v>
      </c>
      <c r="F42" s="24" t="s">
        <v>773</v>
      </c>
      <c r="G42" s="24" t="s">
        <v>778</v>
      </c>
    </row>
    <row r="43" spans="2:7" x14ac:dyDescent="0.25">
      <c r="B43" s="12" t="s">
        <v>633</v>
      </c>
      <c r="C43" s="12" t="s">
        <v>629</v>
      </c>
      <c r="D43" s="12" t="s">
        <v>618</v>
      </c>
      <c r="E43" s="12" t="s">
        <v>614</v>
      </c>
      <c r="F43" s="24" t="s">
        <v>766</v>
      </c>
      <c r="G43" s="24" t="s">
        <v>778</v>
      </c>
    </row>
    <row r="44" spans="2:7" x14ac:dyDescent="0.25">
      <c r="B44" s="12" t="s">
        <v>631</v>
      </c>
      <c r="C44" s="12" t="s">
        <v>630</v>
      </c>
      <c r="D44" s="12" t="s">
        <v>638</v>
      </c>
      <c r="E44" s="12" t="s">
        <v>452</v>
      </c>
      <c r="F44" s="24" t="s">
        <v>776</v>
      </c>
      <c r="G44" s="24" t="s">
        <v>779</v>
      </c>
    </row>
    <row r="45" spans="2:7" x14ac:dyDescent="0.25">
      <c r="B45" s="12" t="s">
        <v>632</v>
      </c>
      <c r="C45" s="12" t="s">
        <v>627</v>
      </c>
      <c r="D45" s="12" t="s">
        <v>636</v>
      </c>
      <c r="E45" s="12" t="s">
        <v>452</v>
      </c>
      <c r="F45" s="24" t="s">
        <v>584</v>
      </c>
      <c r="G45" s="24" t="s">
        <v>778</v>
      </c>
    </row>
    <row r="46" spans="2:7" x14ac:dyDescent="0.25">
      <c r="B46" s="12" t="s">
        <v>633</v>
      </c>
      <c r="C46" s="12" t="s">
        <v>629</v>
      </c>
      <c r="D46" s="12" t="s">
        <v>611</v>
      </c>
      <c r="E46" s="12" t="s">
        <v>452</v>
      </c>
      <c r="F46" s="24" t="s">
        <v>584</v>
      </c>
      <c r="G46" s="24" t="s">
        <v>778</v>
      </c>
    </row>
    <row r="47" spans="2:7" x14ac:dyDescent="0.25">
      <c r="B47" s="12" t="s">
        <v>615</v>
      </c>
      <c r="C47" s="12" t="s">
        <v>629</v>
      </c>
      <c r="D47" s="12" t="s">
        <v>638</v>
      </c>
      <c r="E47" s="12" t="s">
        <v>452</v>
      </c>
      <c r="F47" s="24" t="s">
        <v>586</v>
      </c>
      <c r="G47" s="24" t="s">
        <v>778</v>
      </c>
    </row>
    <row r="48" spans="2:7" x14ac:dyDescent="0.25">
      <c r="B48" s="12" t="s">
        <v>632</v>
      </c>
      <c r="C48" s="12" t="s">
        <v>627</v>
      </c>
      <c r="D48" s="12" t="s">
        <v>638</v>
      </c>
      <c r="E48" s="12" t="s">
        <v>452</v>
      </c>
      <c r="F48" s="24" t="s">
        <v>775</v>
      </c>
      <c r="G48" s="24" t="s">
        <v>778</v>
      </c>
    </row>
    <row r="49" spans="2:7" x14ac:dyDescent="0.25">
      <c r="B49" s="12" t="s">
        <v>635</v>
      </c>
      <c r="C49" s="12" t="s">
        <v>630</v>
      </c>
      <c r="D49" s="12" t="s">
        <v>611</v>
      </c>
      <c r="E49" s="12" t="s">
        <v>452</v>
      </c>
      <c r="F49" s="24" t="s">
        <v>777</v>
      </c>
      <c r="G49" s="24" t="s">
        <v>779</v>
      </c>
    </row>
    <row r="50" spans="2:7" x14ac:dyDescent="0.25">
      <c r="B50" s="12" t="s">
        <v>635</v>
      </c>
      <c r="C50" s="12" t="s">
        <v>630</v>
      </c>
      <c r="D50" s="12" t="s">
        <v>638</v>
      </c>
      <c r="E50" s="12" t="s">
        <v>452</v>
      </c>
      <c r="F50" s="24" t="s">
        <v>586</v>
      </c>
      <c r="G50" s="24" t="s">
        <v>779</v>
      </c>
    </row>
    <row r="51" spans="2:7" x14ac:dyDescent="0.25">
      <c r="B51" s="12" t="s">
        <v>612</v>
      </c>
      <c r="C51" s="12" t="s">
        <v>628</v>
      </c>
      <c r="D51" s="12" t="s">
        <v>623</v>
      </c>
      <c r="E51" s="12" t="s">
        <v>614</v>
      </c>
      <c r="F51" s="24" t="s">
        <v>768</v>
      </c>
      <c r="G51" s="24" t="s">
        <v>778</v>
      </c>
    </row>
    <row r="52" spans="2:7" x14ac:dyDescent="0.25">
      <c r="B52" s="12" t="s">
        <v>631</v>
      </c>
      <c r="C52" s="12" t="s">
        <v>630</v>
      </c>
      <c r="D52" s="12" t="s">
        <v>618</v>
      </c>
      <c r="E52" s="12" t="s">
        <v>614</v>
      </c>
      <c r="F52" s="24" t="s">
        <v>774</v>
      </c>
      <c r="G52" s="24" t="s">
        <v>779</v>
      </c>
    </row>
    <row r="53" spans="2:7" x14ac:dyDescent="0.25">
      <c r="B53" s="12" t="s">
        <v>632</v>
      </c>
      <c r="C53" s="12" t="s">
        <v>627</v>
      </c>
      <c r="D53" s="12" t="s">
        <v>640</v>
      </c>
      <c r="E53" s="12" t="s">
        <v>620</v>
      </c>
      <c r="F53" s="24" t="s">
        <v>762</v>
      </c>
      <c r="G53" s="24" t="s">
        <v>778</v>
      </c>
    </row>
    <row r="54" spans="2:7" x14ac:dyDescent="0.25">
      <c r="B54" s="12" t="s">
        <v>615</v>
      </c>
      <c r="C54" s="12" t="s">
        <v>629</v>
      </c>
      <c r="D54" s="12" t="s">
        <v>619</v>
      </c>
      <c r="E54" s="12" t="s">
        <v>620</v>
      </c>
      <c r="F54" s="24" t="s">
        <v>776</v>
      </c>
      <c r="G54" s="24" t="s">
        <v>778</v>
      </c>
    </row>
    <row r="55" spans="2:7" x14ac:dyDescent="0.25">
      <c r="B55" s="12" t="s">
        <v>632</v>
      </c>
      <c r="C55" s="12" t="s">
        <v>627</v>
      </c>
      <c r="D55" s="12" t="s">
        <v>621</v>
      </c>
      <c r="E55" s="12" t="s">
        <v>622</v>
      </c>
      <c r="F55" s="24" t="s">
        <v>584</v>
      </c>
      <c r="G55" s="24" t="s">
        <v>778</v>
      </c>
    </row>
    <row r="56" spans="2:7" x14ac:dyDescent="0.25">
      <c r="B56" s="12" t="s">
        <v>634</v>
      </c>
      <c r="C56" s="12" t="s">
        <v>628</v>
      </c>
      <c r="D56" s="12" t="s">
        <v>637</v>
      </c>
      <c r="E56" s="12" t="s">
        <v>614</v>
      </c>
      <c r="F56" s="24" t="s">
        <v>777</v>
      </c>
      <c r="G56" s="24" t="s">
        <v>778</v>
      </c>
    </row>
    <row r="57" spans="2:7" x14ac:dyDescent="0.25">
      <c r="B57" s="12" t="s">
        <v>610</v>
      </c>
      <c r="C57" s="12" t="s">
        <v>627</v>
      </c>
      <c r="D57" s="12" t="s">
        <v>619</v>
      </c>
      <c r="E57" s="12" t="s">
        <v>620</v>
      </c>
      <c r="F57" s="24" t="s">
        <v>776</v>
      </c>
      <c r="G57" s="24" t="s">
        <v>779</v>
      </c>
    </row>
    <row r="58" spans="2:7" x14ac:dyDescent="0.25">
      <c r="B58" s="12" t="s">
        <v>632</v>
      </c>
      <c r="C58" s="12"/>
      <c r="D58" s="12" t="s">
        <v>617</v>
      </c>
      <c r="E58" s="12" t="s">
        <v>452</v>
      </c>
      <c r="F58" s="24" t="s">
        <v>585</v>
      </c>
      <c r="G58" s="24" t="s">
        <v>778</v>
      </c>
    </row>
    <row r="59" spans="2:7" x14ac:dyDescent="0.25">
      <c r="B59" s="12" t="s">
        <v>615</v>
      </c>
      <c r="C59" s="12" t="s">
        <v>629</v>
      </c>
      <c r="D59" s="12" t="s">
        <v>616</v>
      </c>
      <c r="E59" s="12" t="s">
        <v>614</v>
      </c>
      <c r="F59" s="24" t="s">
        <v>764</v>
      </c>
      <c r="G59" s="24" t="s">
        <v>778</v>
      </c>
    </row>
    <row r="60" spans="2:7" x14ac:dyDescent="0.25">
      <c r="B60" s="12" t="s">
        <v>612</v>
      </c>
      <c r="C60" s="12" t="s">
        <v>628</v>
      </c>
      <c r="D60" s="12" t="s">
        <v>617</v>
      </c>
      <c r="E60" s="12" t="s">
        <v>452</v>
      </c>
      <c r="F60" s="24" t="s">
        <v>774</v>
      </c>
      <c r="G60" s="24" t="s">
        <v>778</v>
      </c>
    </row>
    <row r="61" spans="2:7" x14ac:dyDescent="0.25">
      <c r="B61" s="12" t="s">
        <v>631</v>
      </c>
      <c r="C61" s="12" t="s">
        <v>630</v>
      </c>
      <c r="D61" s="12" t="s">
        <v>617</v>
      </c>
      <c r="E61" s="12" t="s">
        <v>452</v>
      </c>
      <c r="F61" s="24" t="s">
        <v>769</v>
      </c>
      <c r="G61" s="24" t="s">
        <v>779</v>
      </c>
    </row>
    <row r="62" spans="2:7" x14ac:dyDescent="0.25">
      <c r="B62" s="12" t="s">
        <v>634</v>
      </c>
      <c r="C62" s="12" t="s">
        <v>628</v>
      </c>
      <c r="D62" s="12" t="s">
        <v>618</v>
      </c>
      <c r="E62" s="12" t="s">
        <v>614</v>
      </c>
      <c r="F62" s="24" t="s">
        <v>777</v>
      </c>
      <c r="G62" s="24" t="s">
        <v>778</v>
      </c>
    </row>
    <row r="63" spans="2:7" x14ac:dyDescent="0.25">
      <c r="B63" s="12" t="s">
        <v>635</v>
      </c>
      <c r="C63" s="12" t="s">
        <v>630</v>
      </c>
      <c r="D63" s="12" t="s">
        <v>625</v>
      </c>
      <c r="E63" s="12" t="s">
        <v>622</v>
      </c>
      <c r="F63" s="24" t="s">
        <v>585</v>
      </c>
      <c r="G63" s="24" t="s">
        <v>779</v>
      </c>
    </row>
    <row r="64" spans="2:7" x14ac:dyDescent="0.25">
      <c r="B64" s="12" t="s">
        <v>635</v>
      </c>
      <c r="C64" s="12" t="s">
        <v>630</v>
      </c>
      <c r="D64" s="12" t="s">
        <v>618</v>
      </c>
      <c r="E64" s="12" t="s">
        <v>614</v>
      </c>
      <c r="F64" s="24" t="s">
        <v>764</v>
      </c>
      <c r="G64" s="24" t="s">
        <v>779</v>
      </c>
    </row>
  </sheetData>
  <mergeCells count="1">
    <mergeCell ref="I5:M15"/>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9D7AF-270B-4E97-B9A7-2784661B3B11}">
  <sheetPr>
    <tabColor rgb="FF0000FF"/>
  </sheetPr>
  <dimension ref="B2:D8"/>
  <sheetViews>
    <sheetView zoomScale="130" zoomScaleNormal="130" workbookViewId="0">
      <selection activeCell="I18" sqref="I18"/>
    </sheetView>
  </sheetViews>
  <sheetFormatPr defaultRowHeight="15" x14ac:dyDescent="0.25"/>
  <cols>
    <col min="1" max="1" width="2" customWidth="1"/>
    <col min="2" max="2" width="24.140625" customWidth="1"/>
    <col min="3" max="3" width="13.7109375" customWidth="1"/>
  </cols>
  <sheetData>
    <row r="2" spans="2:4" x14ac:dyDescent="0.25">
      <c r="B2" s="1" t="s">
        <v>536</v>
      </c>
    </row>
    <row r="3" spans="2:4" x14ac:dyDescent="0.25">
      <c r="B3" t="s">
        <v>540</v>
      </c>
    </row>
    <row r="5" spans="2:4" x14ac:dyDescent="0.25">
      <c r="B5" s="62" t="s">
        <v>830</v>
      </c>
      <c r="C5" s="72">
        <v>25000</v>
      </c>
    </row>
    <row r="6" spans="2:4" x14ac:dyDescent="0.25">
      <c r="B6" s="62" t="s">
        <v>537</v>
      </c>
      <c r="C6" s="180">
        <v>0.06</v>
      </c>
    </row>
    <row r="7" spans="2:4" x14ac:dyDescent="0.25">
      <c r="B7" s="62" t="s">
        <v>538</v>
      </c>
      <c r="C7" s="12">
        <v>5</v>
      </c>
    </row>
    <row r="8" spans="2:4" x14ac:dyDescent="0.25">
      <c r="B8" s="189" t="str">
        <f>"CD Amount after " &amp;C7&amp; " Years"</f>
        <v>CD Amount after 5 Years</v>
      </c>
      <c r="C8" s="73">
        <f>C5*(1+C6)^C7</f>
        <v>33455.639440000014</v>
      </c>
      <c r="D8" t="str">
        <f ca="1">_xlfn.IFNA(_xlfn.FORMULATEXT(C8),"")</f>
        <v>=C5*(1+C6)^C7</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3E7FF-B09C-4F80-ABF2-5ED092BE9F84}">
  <sheetPr>
    <tabColor rgb="FF0000FF"/>
  </sheetPr>
  <dimension ref="B2:H8"/>
  <sheetViews>
    <sheetView zoomScale="145" zoomScaleNormal="145" workbookViewId="0">
      <selection activeCell="C6" sqref="C6"/>
    </sheetView>
  </sheetViews>
  <sheetFormatPr defaultRowHeight="15" x14ac:dyDescent="0.25"/>
  <cols>
    <col min="1" max="1" width="2.5703125" customWidth="1"/>
    <col min="2" max="2" width="28.28515625" customWidth="1"/>
    <col min="3" max="3" width="43.85546875" customWidth="1"/>
    <col min="4" max="4" width="1" customWidth="1"/>
    <col min="5" max="5" width="9.28515625" bestFit="1" customWidth="1"/>
    <col min="6" max="6" width="8.5703125" bestFit="1" customWidth="1"/>
    <col min="7" max="7" width="6.28515625" bestFit="1" customWidth="1"/>
  </cols>
  <sheetData>
    <row r="2" spans="2:8" x14ac:dyDescent="0.25">
      <c r="B2" s="213" t="s">
        <v>787</v>
      </c>
      <c r="C2" s="214"/>
      <c r="D2" s="214"/>
      <c r="E2" s="214"/>
      <c r="F2" s="214"/>
      <c r="G2" s="214"/>
      <c r="H2" s="215"/>
    </row>
    <row r="3" spans="2:8" x14ac:dyDescent="0.25">
      <c r="B3" s="216"/>
      <c r="C3" s="217"/>
      <c r="D3" s="217"/>
      <c r="E3" s="217"/>
      <c r="F3" s="217"/>
      <c r="G3" s="217"/>
      <c r="H3" s="218"/>
    </row>
    <row r="4" spans="2:8" x14ac:dyDescent="0.25">
      <c r="B4" s="27"/>
      <c r="C4" s="27"/>
      <c r="D4" s="27"/>
      <c r="E4" s="27"/>
      <c r="F4" s="27"/>
      <c r="G4" s="27"/>
      <c r="H4" s="27"/>
    </row>
    <row r="5" spans="2:8" x14ac:dyDescent="0.25">
      <c r="B5" s="56" t="s">
        <v>575</v>
      </c>
      <c r="C5" s="12" t="s">
        <v>780</v>
      </c>
      <c r="E5" s="22" t="s">
        <v>578</v>
      </c>
      <c r="F5" s="22" t="s">
        <v>38</v>
      </c>
      <c r="G5" s="22" t="s">
        <v>344</v>
      </c>
    </row>
    <row r="6" spans="2:8" x14ac:dyDescent="0.25">
      <c r="B6" s="59" t="s">
        <v>577</v>
      </c>
      <c r="C6" s="2">
        <f>_xlfn.XLOOKUP(--_xlfn.TEXTBEFORE(C5,":"),E6:E8,G6:G8)</f>
        <v>39.950000000000003</v>
      </c>
      <c r="E6" s="12">
        <v>3259</v>
      </c>
      <c r="F6" s="12" t="s">
        <v>579</v>
      </c>
      <c r="G6" s="12">
        <v>28.95</v>
      </c>
    </row>
    <row r="7" spans="2:8" x14ac:dyDescent="0.25">
      <c r="E7" s="12">
        <v>4396</v>
      </c>
      <c r="F7" s="12" t="s">
        <v>40</v>
      </c>
      <c r="G7" s="12">
        <v>39.950000000000003</v>
      </c>
    </row>
    <row r="8" spans="2:8" x14ac:dyDescent="0.25">
      <c r="C8" t="str">
        <f ca="1">_xlfn.IFNA(_xlfn.FORMULATEXT(C6),"")</f>
        <v>=XLOOKUP(--TEXTBEFORE(C5,":"),E6:E8,G6:G8)</v>
      </c>
      <c r="E8" s="12">
        <v>4215</v>
      </c>
      <c r="F8" s="12" t="s">
        <v>315</v>
      </c>
      <c r="G8" s="12">
        <v>26.95</v>
      </c>
    </row>
  </sheetData>
  <mergeCells count="1">
    <mergeCell ref="B2:H3"/>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4B079-DEC3-4E30-A2B1-8A5A2CF22A18}">
  <sheetPr>
    <tabColor rgb="FF0000FF"/>
  </sheetPr>
  <dimension ref="B2:I30"/>
  <sheetViews>
    <sheetView zoomScale="115" zoomScaleNormal="115" workbookViewId="0">
      <selection activeCell="H18" sqref="H18"/>
    </sheetView>
  </sheetViews>
  <sheetFormatPr defaultRowHeight="15" x14ac:dyDescent="0.25"/>
  <cols>
    <col min="1" max="1" width="2.85546875" customWidth="1"/>
    <col min="8" max="8" width="32.28515625" customWidth="1"/>
  </cols>
  <sheetData>
    <row r="2" spans="2:9" x14ac:dyDescent="0.25">
      <c r="B2" s="153" t="s">
        <v>647</v>
      </c>
      <c r="C2" s="147"/>
      <c r="D2" s="147"/>
      <c r="E2" s="147"/>
      <c r="F2" s="147"/>
      <c r="G2" s="147"/>
      <c r="H2" s="35"/>
    </row>
    <row r="3" spans="2:9" x14ac:dyDescent="0.25">
      <c r="B3" s="148" t="s">
        <v>549</v>
      </c>
      <c r="C3" s="149"/>
      <c r="D3" s="149"/>
      <c r="E3" s="149"/>
      <c r="F3" s="149"/>
      <c r="G3" s="149"/>
      <c r="H3" s="150"/>
    </row>
    <row r="5" spans="2:9" x14ac:dyDescent="0.25">
      <c r="B5" s="22" t="s">
        <v>299</v>
      </c>
      <c r="C5" s="22" t="s">
        <v>38</v>
      </c>
      <c r="D5" s="22" t="s">
        <v>600</v>
      </c>
      <c r="E5" s="22" t="s">
        <v>39</v>
      </c>
      <c r="G5" s="22" t="s">
        <v>600</v>
      </c>
      <c r="H5" s="22" t="s">
        <v>38</v>
      </c>
    </row>
    <row r="6" spans="2:9" x14ac:dyDescent="0.25">
      <c r="B6" s="114">
        <v>45660</v>
      </c>
      <c r="C6" s="12" t="s">
        <v>603</v>
      </c>
      <c r="D6" s="12" t="s">
        <v>601</v>
      </c>
      <c r="E6" s="12">
        <v>1753.57</v>
      </c>
      <c r="G6" s="12" t="s">
        <v>592</v>
      </c>
      <c r="H6" s="2" t="str" cm="1">
        <f t="array" ref="H6">_xlfn.TEXTJOIN(", ",,_xlfn.UNIQUE(_xlfn._xlws.SORT(_xlfn._xlws.FILTER($C$6:$C$30,$D$6:$D$30=G6))))</f>
        <v>Bauer, Emglo</v>
      </c>
      <c r="I6" t="str">
        <f ca="1">_xlfn.IFNA(_xlfn.FORMULATEXT(H6),"")</f>
        <v>=TEXTJOIN(", ",,UNIQUE(SORT(FILTER($C$6:$C$30,$D$6:$D$30=G6))))</v>
      </c>
    </row>
    <row r="7" spans="2:9" x14ac:dyDescent="0.25">
      <c r="B7" s="114">
        <v>45659</v>
      </c>
      <c r="C7" s="12" t="s">
        <v>602</v>
      </c>
      <c r="D7" s="12" t="s">
        <v>591</v>
      </c>
      <c r="E7" s="12">
        <v>1138.3800000000001</v>
      </c>
      <c r="G7" s="12" t="s">
        <v>601</v>
      </c>
      <c r="H7" s="2" t="str" cm="1">
        <f t="array" ref="H7">_xlfn.TEXTJOIN(", ",,_xlfn.UNIQUE(_xlfn._xlws.SORT(_xlfn._xlws.FILTER($C$6:$C$30,$D$6:$D$30=G7))))</f>
        <v>Bauer, DeVilbiss, Doosan</v>
      </c>
    </row>
    <row r="8" spans="2:9" x14ac:dyDescent="0.25">
      <c r="B8" s="114">
        <v>45660</v>
      </c>
      <c r="C8" s="12" t="s">
        <v>604</v>
      </c>
      <c r="D8" s="12" t="s">
        <v>591</v>
      </c>
      <c r="E8" s="12">
        <v>1569.34</v>
      </c>
      <c r="G8" s="12" t="s">
        <v>591</v>
      </c>
      <c r="H8" s="2" t="str" cm="1">
        <f t="array" ref="H8">_xlfn.TEXTJOIN(", ",,_xlfn.UNIQUE(_xlfn._xlws.SORT(_xlfn._xlws.FILTER($C$6:$C$30,$D$6:$D$30=G8))))</f>
        <v>Bauer, DeVilbiss, Doosan, Emglo</v>
      </c>
    </row>
    <row r="9" spans="2:9" x14ac:dyDescent="0.25">
      <c r="B9" s="114">
        <v>45659</v>
      </c>
      <c r="C9" s="12" t="s">
        <v>602</v>
      </c>
      <c r="D9" s="12" t="s">
        <v>593</v>
      </c>
      <c r="E9" s="12">
        <v>350.4</v>
      </c>
      <c r="G9" s="12" t="s">
        <v>311</v>
      </c>
      <c r="H9" s="2" t="str" cm="1">
        <f t="array" ref="H9">_xlfn.TEXTJOIN(", ",,_xlfn.UNIQUE(_xlfn._xlws.SORT(_xlfn._xlws.FILTER($C$6:$C$30,$D$6:$D$30=G9))))</f>
        <v>Bauer, Doosan</v>
      </c>
    </row>
    <row r="10" spans="2:9" x14ac:dyDescent="0.25">
      <c r="B10" s="114">
        <v>45660</v>
      </c>
      <c r="C10" s="12" t="s">
        <v>602</v>
      </c>
      <c r="D10" s="12" t="s">
        <v>592</v>
      </c>
      <c r="E10" s="12">
        <v>2836.65</v>
      </c>
      <c r="G10" s="12" t="s">
        <v>593</v>
      </c>
      <c r="H10" s="2" t="str" cm="1">
        <f t="array" ref="H10">_xlfn.TEXTJOIN(", ",,_xlfn.UNIQUE(_xlfn._xlws.SORT(_xlfn._xlws.FILTER($C$6:$C$30,$D$6:$D$30=G10))))</f>
        <v>Bauer, Emglo</v>
      </c>
    </row>
    <row r="11" spans="2:9" x14ac:dyDescent="0.25">
      <c r="B11" s="114">
        <v>45660</v>
      </c>
      <c r="C11" s="12" t="s">
        <v>603</v>
      </c>
      <c r="D11" s="12" t="s">
        <v>601</v>
      </c>
      <c r="E11" s="12">
        <v>1035.33</v>
      </c>
    </row>
    <row r="12" spans="2:9" x14ac:dyDescent="0.25">
      <c r="B12" s="114">
        <v>45659</v>
      </c>
      <c r="C12" s="12" t="s">
        <v>605</v>
      </c>
      <c r="D12" s="12" t="s">
        <v>593</v>
      </c>
      <c r="E12" s="12">
        <v>504.4</v>
      </c>
    </row>
    <row r="13" spans="2:9" x14ac:dyDescent="0.25">
      <c r="B13" s="114">
        <v>45660</v>
      </c>
      <c r="C13" s="12" t="s">
        <v>603</v>
      </c>
      <c r="D13" s="12" t="s">
        <v>311</v>
      </c>
      <c r="E13" s="12">
        <v>1222.8599999999999</v>
      </c>
    </row>
    <row r="14" spans="2:9" x14ac:dyDescent="0.25">
      <c r="B14" s="114">
        <v>45659</v>
      </c>
      <c r="C14" s="12" t="s">
        <v>605</v>
      </c>
      <c r="D14" s="12" t="s">
        <v>593</v>
      </c>
      <c r="E14" s="12">
        <v>1269.6600000000001</v>
      </c>
    </row>
    <row r="15" spans="2:9" x14ac:dyDescent="0.25">
      <c r="B15" s="114">
        <v>45659</v>
      </c>
      <c r="C15" s="12" t="s">
        <v>605</v>
      </c>
      <c r="D15" s="12" t="s">
        <v>592</v>
      </c>
      <c r="E15" s="12">
        <v>2552.39</v>
      </c>
    </row>
    <row r="16" spans="2:9" x14ac:dyDescent="0.25">
      <c r="B16" s="114">
        <v>45660</v>
      </c>
      <c r="C16" s="12" t="s">
        <v>602</v>
      </c>
      <c r="D16" s="12" t="s">
        <v>311</v>
      </c>
      <c r="E16" s="12">
        <v>891.94</v>
      </c>
    </row>
    <row r="17" spans="2:5" x14ac:dyDescent="0.25">
      <c r="B17" s="114">
        <v>45660</v>
      </c>
      <c r="C17" s="12" t="s">
        <v>602</v>
      </c>
      <c r="D17" s="12" t="s">
        <v>593</v>
      </c>
      <c r="E17" s="12">
        <v>1715.21</v>
      </c>
    </row>
    <row r="18" spans="2:5" x14ac:dyDescent="0.25">
      <c r="B18" s="114">
        <v>45659</v>
      </c>
      <c r="C18" s="12" t="s">
        <v>605</v>
      </c>
      <c r="D18" s="12" t="s">
        <v>592</v>
      </c>
      <c r="E18" s="12">
        <v>2653.47</v>
      </c>
    </row>
    <row r="19" spans="2:5" x14ac:dyDescent="0.25">
      <c r="B19" s="114">
        <v>45660</v>
      </c>
      <c r="C19" s="12" t="s">
        <v>602</v>
      </c>
      <c r="D19" s="12" t="s">
        <v>593</v>
      </c>
      <c r="E19" s="12">
        <v>2808.84</v>
      </c>
    </row>
    <row r="20" spans="2:5" x14ac:dyDescent="0.25">
      <c r="B20" s="114">
        <v>45660</v>
      </c>
      <c r="C20" s="12" t="s">
        <v>605</v>
      </c>
      <c r="D20" s="12" t="s">
        <v>593</v>
      </c>
      <c r="E20" s="12">
        <v>1330.69</v>
      </c>
    </row>
    <row r="21" spans="2:5" x14ac:dyDescent="0.25">
      <c r="B21" s="114">
        <v>45659</v>
      </c>
      <c r="C21" s="12" t="s">
        <v>605</v>
      </c>
      <c r="D21" s="12" t="s">
        <v>593</v>
      </c>
      <c r="E21" s="12">
        <v>819.77</v>
      </c>
    </row>
    <row r="22" spans="2:5" x14ac:dyDescent="0.25">
      <c r="B22" s="114">
        <v>45660</v>
      </c>
      <c r="C22" s="12" t="s">
        <v>602</v>
      </c>
      <c r="D22" s="12" t="s">
        <v>311</v>
      </c>
      <c r="E22" s="12">
        <v>1407.89</v>
      </c>
    </row>
    <row r="23" spans="2:5" x14ac:dyDescent="0.25">
      <c r="B23" s="114">
        <v>45660</v>
      </c>
      <c r="C23" s="12" t="s">
        <v>602</v>
      </c>
      <c r="D23" s="12" t="s">
        <v>591</v>
      </c>
      <c r="E23" s="12">
        <v>1294.2</v>
      </c>
    </row>
    <row r="24" spans="2:5" x14ac:dyDescent="0.25">
      <c r="B24" s="114">
        <v>45660</v>
      </c>
      <c r="C24" s="12" t="s">
        <v>603</v>
      </c>
      <c r="D24" s="12" t="s">
        <v>601</v>
      </c>
      <c r="E24" s="12">
        <v>1211.77</v>
      </c>
    </row>
    <row r="25" spans="2:5" x14ac:dyDescent="0.25">
      <c r="B25" s="114">
        <v>45660</v>
      </c>
      <c r="C25" s="12" t="s">
        <v>602</v>
      </c>
      <c r="D25" s="12" t="s">
        <v>601</v>
      </c>
      <c r="E25" s="12">
        <v>674.59</v>
      </c>
    </row>
    <row r="26" spans="2:5" x14ac:dyDescent="0.25">
      <c r="B26" s="114">
        <v>45660</v>
      </c>
      <c r="C26" s="12" t="s">
        <v>602</v>
      </c>
      <c r="D26" s="12" t="s">
        <v>592</v>
      </c>
      <c r="E26" s="12">
        <v>1170.04</v>
      </c>
    </row>
    <row r="27" spans="2:5" x14ac:dyDescent="0.25">
      <c r="B27" s="114">
        <v>45659</v>
      </c>
      <c r="C27" s="12" t="s">
        <v>603</v>
      </c>
      <c r="D27" s="12" t="s">
        <v>591</v>
      </c>
      <c r="E27" s="12">
        <v>1297.57</v>
      </c>
    </row>
    <row r="28" spans="2:5" x14ac:dyDescent="0.25">
      <c r="B28" s="114">
        <v>45659</v>
      </c>
      <c r="C28" s="12" t="s">
        <v>602</v>
      </c>
      <c r="D28" s="12" t="s">
        <v>601</v>
      </c>
      <c r="E28" s="12">
        <v>1235.23</v>
      </c>
    </row>
    <row r="29" spans="2:5" x14ac:dyDescent="0.25">
      <c r="B29" s="114">
        <v>45660</v>
      </c>
      <c r="C29" s="12" t="s">
        <v>604</v>
      </c>
      <c r="D29" s="12" t="s">
        <v>601</v>
      </c>
      <c r="E29" s="12">
        <v>2555.44</v>
      </c>
    </row>
    <row r="30" spans="2:5" x14ac:dyDescent="0.25">
      <c r="B30" s="114">
        <v>45659</v>
      </c>
      <c r="C30" s="12" t="s">
        <v>605</v>
      </c>
      <c r="D30" s="12" t="s">
        <v>591</v>
      </c>
      <c r="E30" s="12">
        <v>2226.6799999999998</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7921-1795-4FEA-A9EE-1D02A24FA5D1}">
  <sheetPr>
    <tabColor rgb="FF0000FF"/>
  </sheetPr>
  <dimension ref="B2:R2004"/>
  <sheetViews>
    <sheetView tabSelected="1" zoomScale="110" zoomScaleNormal="110" workbookViewId="0">
      <selection activeCell="T12" sqref="T12"/>
    </sheetView>
  </sheetViews>
  <sheetFormatPr defaultRowHeight="15" x14ac:dyDescent="0.25"/>
  <cols>
    <col min="1" max="1" width="3.28515625" customWidth="1"/>
    <col min="4" max="4" width="8.42578125" bestFit="1" customWidth="1"/>
    <col min="5" max="5" width="10.5703125" bestFit="1" customWidth="1"/>
    <col min="6" max="6" width="11.42578125" customWidth="1"/>
    <col min="7" max="7" width="5.85546875" bestFit="1" customWidth="1"/>
    <col min="8" max="8" width="12.28515625" customWidth="1"/>
    <col min="9" max="9" width="14.28515625" customWidth="1"/>
    <col min="10" max="10" width="3.28515625" customWidth="1"/>
    <col min="11" max="11" width="17.28515625" customWidth="1"/>
    <col min="12" max="12" width="17.85546875" customWidth="1"/>
  </cols>
  <sheetData>
    <row r="2" spans="2:18" x14ac:dyDescent="0.25">
      <c r="F2" s="167" t="s">
        <v>819</v>
      </c>
      <c r="G2" s="147" t="str">
        <f>"Is the Region "&amp;$K$9&amp;" AND is the SalesRep "&amp;$L$9&amp;" AND is the Product "&amp;$M$9&amp;"?"</f>
        <v>Is the Region South AND is the SalesRep Gigi AND is the Product DAB Item?</v>
      </c>
      <c r="H2" s="147"/>
      <c r="I2" s="147"/>
      <c r="J2" s="147"/>
      <c r="K2" s="147"/>
      <c r="L2" s="147"/>
      <c r="M2" s="147"/>
      <c r="N2" s="147"/>
      <c r="O2" s="147"/>
      <c r="P2" s="147"/>
      <c r="Q2" s="35"/>
    </row>
    <row r="3" spans="2:18" x14ac:dyDescent="0.25">
      <c r="B3" s="1" t="s">
        <v>816</v>
      </c>
      <c r="F3" s="166" t="s">
        <v>817</v>
      </c>
      <c r="G3" s="149" t="str">
        <f>"Using the aggregate AND function, in cell "&amp;ADDRESS(ROW(I6),COLUMN(I6),4)&amp;" create the formula that answers the question, and then copy the formula down the column."</f>
        <v>Using the aggregate AND function, in cell I6 create the formula that answers the question, and then copy the formula down the column.</v>
      </c>
      <c r="H3" s="149"/>
      <c r="I3" s="149"/>
      <c r="J3" s="149"/>
      <c r="K3" s="149"/>
      <c r="L3" s="149"/>
      <c r="M3" s="149"/>
      <c r="N3" s="149"/>
      <c r="O3" s="149"/>
      <c r="P3" s="149"/>
      <c r="Q3" s="150"/>
    </row>
    <row r="5" spans="2:18" x14ac:dyDescent="0.25">
      <c r="B5" s="62" t="s">
        <v>299</v>
      </c>
      <c r="C5" s="62" t="s">
        <v>788</v>
      </c>
      <c r="D5" s="62" t="s">
        <v>401</v>
      </c>
      <c r="E5" s="62" t="s">
        <v>483</v>
      </c>
      <c r="F5" s="62" t="s">
        <v>38</v>
      </c>
      <c r="G5" s="62" t="s">
        <v>558</v>
      </c>
      <c r="H5" s="62" t="s">
        <v>39</v>
      </c>
      <c r="I5" s="62" t="s">
        <v>789</v>
      </c>
      <c r="K5" s="167" t="s">
        <v>819</v>
      </c>
      <c r="L5" s="147" t="str">
        <f>"Is the Region "&amp;$K$9&amp;" AND is the SalesRep "&amp;$L$9&amp;" AND is the Product "&amp;$M$9&amp;"?"</f>
        <v>Is the Region South AND is the SalesRep Gigi AND is the Product DAB Item?</v>
      </c>
      <c r="M5" s="147"/>
      <c r="N5" s="147"/>
      <c r="O5" s="147"/>
      <c r="P5" s="147"/>
      <c r="Q5" s="147"/>
      <c r="R5" s="35"/>
    </row>
    <row r="6" spans="2:18" x14ac:dyDescent="0.25">
      <c r="B6" s="161">
        <v>41554</v>
      </c>
      <c r="C6" s="12" t="s">
        <v>790</v>
      </c>
      <c r="D6" s="12" t="s">
        <v>457</v>
      </c>
      <c r="E6" s="12" t="s">
        <v>607</v>
      </c>
      <c r="F6" s="12" t="s">
        <v>791</v>
      </c>
      <c r="G6" s="55">
        <v>3643</v>
      </c>
      <c r="H6" s="55">
        <v>6279</v>
      </c>
      <c r="I6" s="2" t="b">
        <f>AND($K$9=C6,$L$9=D6,$M$9=F6)</f>
        <v>0</v>
      </c>
      <c r="K6" s="166" t="s">
        <v>817</v>
      </c>
      <c r="L6" s="149" t="str">
        <f>"Creat formulas to calculate: "&amp;_xlfn.TEXTJOIN(", ",,$K$11:$K$13)</f>
        <v>Creat formulas to calculate: Total COGS ($), Count Transactions, Average COGS ($)</v>
      </c>
      <c r="M6" s="149"/>
      <c r="N6" s="149"/>
      <c r="O6" s="149"/>
      <c r="P6" s="149"/>
      <c r="Q6" s="149"/>
      <c r="R6" s="150"/>
    </row>
    <row r="7" spans="2:18" x14ac:dyDescent="0.25">
      <c r="B7" s="161">
        <v>41124</v>
      </c>
      <c r="C7" s="12" t="s">
        <v>792</v>
      </c>
      <c r="D7" s="12" t="s">
        <v>457</v>
      </c>
      <c r="E7" s="12" t="s">
        <v>793</v>
      </c>
      <c r="F7" s="12" t="s">
        <v>794</v>
      </c>
      <c r="G7" s="55">
        <v>8815</v>
      </c>
      <c r="H7" s="55">
        <v>9428</v>
      </c>
      <c r="I7" s="2" t="b">
        <f t="shared" ref="I7:I70" si="0">AND($K$9=C7,$L$9=D7,$M$9=F7)</f>
        <v>1</v>
      </c>
    </row>
    <row r="8" spans="2:18" x14ac:dyDescent="0.25">
      <c r="B8" s="161">
        <v>41208</v>
      </c>
      <c r="C8" s="12" t="s">
        <v>792</v>
      </c>
      <c r="D8" s="12" t="s">
        <v>652</v>
      </c>
      <c r="E8" s="12" t="s">
        <v>795</v>
      </c>
      <c r="F8" s="12" t="s">
        <v>796</v>
      </c>
      <c r="G8" s="55">
        <v>3190</v>
      </c>
      <c r="H8" s="55">
        <v>7417</v>
      </c>
      <c r="I8" s="2" t="b">
        <f t="shared" si="0"/>
        <v>0</v>
      </c>
      <c r="K8" s="162" t="s">
        <v>788</v>
      </c>
      <c r="L8" s="163" t="s">
        <v>401</v>
      </c>
      <c r="M8" s="162" t="s">
        <v>38</v>
      </c>
    </row>
    <row r="9" spans="2:18" x14ac:dyDescent="0.25">
      <c r="B9" s="161">
        <v>41049</v>
      </c>
      <c r="C9" s="12" t="s">
        <v>792</v>
      </c>
      <c r="D9" s="12" t="s">
        <v>797</v>
      </c>
      <c r="E9" s="12" t="s">
        <v>798</v>
      </c>
      <c r="F9" s="12" t="s">
        <v>799</v>
      </c>
      <c r="G9" s="55">
        <v>3636</v>
      </c>
      <c r="H9" s="55">
        <v>6270</v>
      </c>
      <c r="I9" s="2" t="b">
        <f t="shared" si="0"/>
        <v>0</v>
      </c>
      <c r="K9" s="12" t="s">
        <v>792</v>
      </c>
      <c r="L9" s="12" t="s">
        <v>457</v>
      </c>
      <c r="M9" s="12" t="s">
        <v>794</v>
      </c>
    </row>
    <row r="10" spans="2:18" x14ac:dyDescent="0.25">
      <c r="B10" s="161">
        <v>41337</v>
      </c>
      <c r="C10" s="12" t="s">
        <v>792</v>
      </c>
      <c r="D10" s="12" t="s">
        <v>457</v>
      </c>
      <c r="E10" s="12" t="s">
        <v>798</v>
      </c>
      <c r="F10" s="12" t="s">
        <v>794</v>
      </c>
      <c r="G10" s="55">
        <v>5247</v>
      </c>
      <c r="H10" s="55">
        <v>5610</v>
      </c>
      <c r="I10" s="2" t="b">
        <f t="shared" si="0"/>
        <v>1</v>
      </c>
    </row>
    <row r="11" spans="2:18" x14ac:dyDescent="0.25">
      <c r="B11" s="161">
        <v>41176</v>
      </c>
      <c r="C11" s="12" t="s">
        <v>790</v>
      </c>
      <c r="D11" s="12" t="s">
        <v>457</v>
      </c>
      <c r="E11" s="12" t="s">
        <v>800</v>
      </c>
      <c r="F11" s="12" t="s">
        <v>799</v>
      </c>
      <c r="G11" s="55">
        <v>2984</v>
      </c>
      <c r="H11" s="55">
        <v>5424</v>
      </c>
      <c r="I11" s="2" t="b">
        <f t="shared" si="0"/>
        <v>0</v>
      </c>
      <c r="K11" s="62" t="s">
        <v>810</v>
      </c>
      <c r="L11" s="164">
        <f>SUMIFS(G6:G2004,C6:C2004,K9,D6:D2004,L9,F6:F2004,M9)</f>
        <v>110314</v>
      </c>
      <c r="M11" t="str">
        <f ca="1">_xlfn.IFNA(_xlfn.FORMULATEXT(L11),"")</f>
        <v>=SUMIFS(G6:G2004,C6:C2004,K9,D6:D2004,L9,F6:F2004,M9)</v>
      </c>
    </row>
    <row r="12" spans="2:18" x14ac:dyDescent="0.25">
      <c r="B12" s="161">
        <v>41288</v>
      </c>
      <c r="C12" s="12" t="s">
        <v>792</v>
      </c>
      <c r="D12" s="12" t="s">
        <v>801</v>
      </c>
      <c r="E12" s="12" t="s">
        <v>793</v>
      </c>
      <c r="F12" s="12" t="s">
        <v>796</v>
      </c>
      <c r="G12" s="55">
        <v>6386</v>
      </c>
      <c r="H12" s="55">
        <v>6830</v>
      </c>
      <c r="I12" s="2" t="b">
        <f t="shared" si="0"/>
        <v>0</v>
      </c>
      <c r="K12" s="62" t="s">
        <v>811</v>
      </c>
      <c r="L12" s="164">
        <f>COUNTIFS(C6:C2004,K9,D6:D2004,L9,F6:F2004,M9)</f>
        <v>36</v>
      </c>
      <c r="M12" t="str">
        <f t="shared" ref="M12:M13" ca="1" si="1">_xlfn.IFNA(_xlfn.FORMULATEXT(L12),"")</f>
        <v>=COUNTIFS(C6:C2004,K9,D6:D2004,L9,F6:F2004,M9)</v>
      </c>
    </row>
    <row r="13" spans="2:18" x14ac:dyDescent="0.25">
      <c r="B13" s="161">
        <v>41002</v>
      </c>
      <c r="C13" s="12" t="s">
        <v>790</v>
      </c>
      <c r="D13" s="12" t="s">
        <v>652</v>
      </c>
      <c r="E13" s="12" t="s">
        <v>798</v>
      </c>
      <c r="F13" s="12" t="s">
        <v>799</v>
      </c>
      <c r="G13" s="55">
        <v>1175</v>
      </c>
      <c r="H13" s="55">
        <v>2611</v>
      </c>
      <c r="I13" s="2" t="b">
        <f t="shared" si="0"/>
        <v>0</v>
      </c>
      <c r="K13" s="62" t="s">
        <v>812</v>
      </c>
      <c r="L13" s="164">
        <f>AVERAGEIFS(G6:G2004,C6:C2004,K9,D6:D2004,L9,F6:F2004,M9)</f>
        <v>3064.2777777777778</v>
      </c>
      <c r="M13" t="str">
        <f t="shared" ca="1" si="1"/>
        <v>=AVERAGEIFS(G6:G2004,C6:C2004,K9,D6:D2004,L9,F6:F2004,M9)</v>
      </c>
    </row>
    <row r="14" spans="2:18" x14ac:dyDescent="0.25">
      <c r="B14" s="161">
        <v>41294</v>
      </c>
      <c r="C14" s="12" t="s">
        <v>802</v>
      </c>
      <c r="D14" s="12" t="s">
        <v>457</v>
      </c>
      <c r="E14" s="12" t="s">
        <v>803</v>
      </c>
      <c r="F14" s="12" t="s">
        <v>794</v>
      </c>
      <c r="G14" s="55">
        <v>2792</v>
      </c>
      <c r="H14" s="55">
        <v>4811</v>
      </c>
      <c r="I14" s="2" t="b">
        <f t="shared" si="0"/>
        <v>0</v>
      </c>
    </row>
    <row r="15" spans="2:18" x14ac:dyDescent="0.25">
      <c r="B15" s="161">
        <v>40965</v>
      </c>
      <c r="C15" s="12" t="s">
        <v>792</v>
      </c>
      <c r="D15" s="12" t="s">
        <v>652</v>
      </c>
      <c r="E15" s="12" t="s">
        <v>804</v>
      </c>
      <c r="F15" s="12" t="s">
        <v>796</v>
      </c>
      <c r="G15" s="55">
        <v>16</v>
      </c>
      <c r="H15" s="55">
        <v>23</v>
      </c>
      <c r="I15" s="2" t="b">
        <f t="shared" si="0"/>
        <v>0</v>
      </c>
      <c r="K15" s="167" t="s">
        <v>819</v>
      </c>
      <c r="L15" s="147" t="str">
        <f>"Is the Customer "&amp;L19&amp;" OR "&amp;L20&amp;" OR "&amp;L21&amp;" OR "&amp;L22&amp;"?"</f>
        <v>Is the Customer Amazon OR Microsoft OR Yahoo OR Google?</v>
      </c>
      <c r="M15" s="147"/>
      <c r="N15" s="147"/>
      <c r="O15" s="147"/>
      <c r="P15" s="147"/>
      <c r="Q15" s="147"/>
      <c r="R15" s="35"/>
    </row>
    <row r="16" spans="2:18" x14ac:dyDescent="0.25">
      <c r="B16" s="161">
        <v>41624</v>
      </c>
      <c r="C16" s="12" t="s">
        <v>805</v>
      </c>
      <c r="D16" s="12" t="s">
        <v>797</v>
      </c>
      <c r="E16" s="12" t="s">
        <v>806</v>
      </c>
      <c r="F16" s="12" t="s">
        <v>794</v>
      </c>
      <c r="G16" s="55">
        <v>7222</v>
      </c>
      <c r="H16" s="55">
        <v>8206</v>
      </c>
      <c r="I16" s="2" t="b">
        <f t="shared" si="0"/>
        <v>0</v>
      </c>
      <c r="K16" s="166" t="s">
        <v>818</v>
      </c>
      <c r="L16" s="149" t="str">
        <f>"Creat formulas to calculate: "&amp;_xlfn.TEXTJOIN(", ",,K24:K25)</f>
        <v>Creat formulas to calculate: Total Sales, Count Transactions</v>
      </c>
      <c r="M16" s="149"/>
      <c r="N16" s="149"/>
      <c r="O16" s="149"/>
      <c r="P16" s="149"/>
      <c r="Q16" s="149"/>
      <c r="R16" s="150"/>
    </row>
    <row r="17" spans="2:13" x14ac:dyDescent="0.25">
      <c r="B17" s="161">
        <v>41004</v>
      </c>
      <c r="C17" s="12" t="s">
        <v>805</v>
      </c>
      <c r="D17" s="12" t="s">
        <v>797</v>
      </c>
      <c r="E17" s="12" t="s">
        <v>798</v>
      </c>
      <c r="F17" s="12" t="s">
        <v>791</v>
      </c>
      <c r="G17" s="55">
        <v>4648</v>
      </c>
      <c r="H17" s="55">
        <v>8450</v>
      </c>
      <c r="I17" s="2" t="b">
        <f t="shared" si="0"/>
        <v>0</v>
      </c>
    </row>
    <row r="18" spans="2:13" x14ac:dyDescent="0.25">
      <c r="B18" s="161">
        <v>41084</v>
      </c>
      <c r="C18" s="12" t="s">
        <v>790</v>
      </c>
      <c r="D18" s="12" t="s">
        <v>652</v>
      </c>
      <c r="E18" s="12" t="s">
        <v>800</v>
      </c>
      <c r="F18" s="12" t="s">
        <v>799</v>
      </c>
      <c r="G18" s="55">
        <v>1264</v>
      </c>
      <c r="H18" s="55">
        <v>2144</v>
      </c>
      <c r="I18" s="2" t="b">
        <f t="shared" si="0"/>
        <v>0</v>
      </c>
      <c r="L18" s="162" t="s">
        <v>813</v>
      </c>
    </row>
    <row r="19" spans="2:13" x14ac:dyDescent="0.25">
      <c r="B19" s="161">
        <v>41508</v>
      </c>
      <c r="C19" s="12" t="s">
        <v>802</v>
      </c>
      <c r="D19" s="12" t="s">
        <v>457</v>
      </c>
      <c r="E19" s="12" t="s">
        <v>795</v>
      </c>
      <c r="F19" s="12" t="s">
        <v>799</v>
      </c>
      <c r="G19" s="55">
        <v>3607</v>
      </c>
      <c r="H19" s="55">
        <v>6113</v>
      </c>
      <c r="I19" s="2" t="b">
        <f t="shared" si="0"/>
        <v>0</v>
      </c>
      <c r="L19" s="12" t="s">
        <v>607</v>
      </c>
    </row>
    <row r="20" spans="2:13" x14ac:dyDescent="0.25">
      <c r="B20" s="161">
        <v>41587</v>
      </c>
      <c r="C20" s="12" t="s">
        <v>805</v>
      </c>
      <c r="D20" s="12" t="s">
        <v>797</v>
      </c>
      <c r="E20" s="12" t="s">
        <v>795</v>
      </c>
      <c r="F20" s="12" t="s">
        <v>791</v>
      </c>
      <c r="G20" s="55">
        <v>204</v>
      </c>
      <c r="H20" s="55">
        <v>273</v>
      </c>
      <c r="I20" s="2" t="b">
        <f t="shared" si="0"/>
        <v>0</v>
      </c>
      <c r="L20" s="12" t="s">
        <v>814</v>
      </c>
    </row>
    <row r="21" spans="2:13" x14ac:dyDescent="0.25">
      <c r="B21" s="161">
        <v>41356</v>
      </c>
      <c r="C21" s="12" t="s">
        <v>805</v>
      </c>
      <c r="D21" s="12" t="s">
        <v>652</v>
      </c>
      <c r="E21" s="12" t="s">
        <v>804</v>
      </c>
      <c r="F21" s="12" t="s">
        <v>794</v>
      </c>
      <c r="G21" s="55">
        <v>944</v>
      </c>
      <c r="H21" s="55">
        <v>2553</v>
      </c>
      <c r="I21" s="2" t="b">
        <f t="shared" si="0"/>
        <v>0</v>
      </c>
      <c r="L21" s="12" t="s">
        <v>808</v>
      </c>
    </row>
    <row r="22" spans="2:13" x14ac:dyDescent="0.25">
      <c r="B22" s="161">
        <v>41185</v>
      </c>
      <c r="C22" s="12" t="s">
        <v>792</v>
      </c>
      <c r="D22" s="12" t="s">
        <v>801</v>
      </c>
      <c r="E22" s="12" t="s">
        <v>806</v>
      </c>
      <c r="F22" s="12" t="s">
        <v>791</v>
      </c>
      <c r="G22" s="55">
        <v>9190</v>
      </c>
      <c r="H22" s="55">
        <v>9830</v>
      </c>
      <c r="I22" s="2" t="b">
        <f t="shared" si="0"/>
        <v>0</v>
      </c>
      <c r="L22" s="12" t="s">
        <v>809</v>
      </c>
    </row>
    <row r="23" spans="2:13" x14ac:dyDescent="0.25">
      <c r="B23" s="161">
        <v>41368</v>
      </c>
      <c r="C23" s="12" t="s">
        <v>790</v>
      </c>
      <c r="D23" s="12" t="s">
        <v>652</v>
      </c>
      <c r="E23" s="12" t="s">
        <v>487</v>
      </c>
      <c r="F23" s="12" t="s">
        <v>794</v>
      </c>
      <c r="G23" s="55">
        <v>3919</v>
      </c>
      <c r="H23" s="55">
        <v>4453</v>
      </c>
      <c r="I23" s="2" t="b">
        <f t="shared" si="0"/>
        <v>0</v>
      </c>
    </row>
    <row r="24" spans="2:13" x14ac:dyDescent="0.25">
      <c r="B24" s="161">
        <v>40913</v>
      </c>
      <c r="C24" s="12" t="s">
        <v>802</v>
      </c>
      <c r="D24" s="12" t="s">
        <v>801</v>
      </c>
      <c r="E24" s="12" t="s">
        <v>795</v>
      </c>
      <c r="F24" s="12" t="s">
        <v>796</v>
      </c>
      <c r="G24" s="55">
        <v>2945</v>
      </c>
      <c r="H24" s="55">
        <v>5000</v>
      </c>
      <c r="I24" s="2" t="b">
        <f t="shared" si="0"/>
        <v>0</v>
      </c>
      <c r="K24" s="165" t="s">
        <v>815</v>
      </c>
      <c r="L24" s="164" cm="1">
        <f t="array" ref="L24">SUM(SUMIFS(H6:H2004,E6:E2004,L19:L22))</f>
        <v>2524426</v>
      </c>
      <c r="M24" t="str">
        <f ca="1">_xlfn.IFNA(_xlfn.FORMULATEXT(L24),"")</f>
        <v>=SUM(SUMIFS(H6:H2004,E6:E2004,L19:L22))</v>
      </c>
    </row>
    <row r="25" spans="2:13" x14ac:dyDescent="0.25">
      <c r="B25" s="161">
        <v>41584</v>
      </c>
      <c r="C25" s="12" t="s">
        <v>805</v>
      </c>
      <c r="D25" s="12" t="s">
        <v>652</v>
      </c>
      <c r="E25" s="12" t="s">
        <v>804</v>
      </c>
      <c r="F25" s="12" t="s">
        <v>791</v>
      </c>
      <c r="G25" s="55">
        <v>564</v>
      </c>
      <c r="H25" s="55">
        <v>1025</v>
      </c>
      <c r="I25" s="2" t="b">
        <f t="shared" si="0"/>
        <v>0</v>
      </c>
      <c r="K25" s="62" t="s">
        <v>811</v>
      </c>
      <c r="L25" s="164" cm="1">
        <f t="array" ref="L25">SUM(COUNTIFS(E6:E2004,L19:L22))</f>
        <v>494</v>
      </c>
      <c r="M25" t="str">
        <f ca="1">_xlfn.IFNA(_xlfn.FORMULATEXT(L25),"")</f>
        <v>=SUM(COUNTIFS(E6:E2004,L19:L22))</v>
      </c>
    </row>
    <row r="26" spans="2:13" x14ac:dyDescent="0.25">
      <c r="B26" s="161">
        <v>41542</v>
      </c>
      <c r="C26" s="12" t="s">
        <v>805</v>
      </c>
      <c r="D26" s="12" t="s">
        <v>457</v>
      </c>
      <c r="E26" s="12" t="s">
        <v>798</v>
      </c>
      <c r="F26" s="12" t="s">
        <v>791</v>
      </c>
      <c r="G26" s="55">
        <v>1504</v>
      </c>
      <c r="H26" s="55">
        <v>2006</v>
      </c>
      <c r="I26" s="2" t="b">
        <f t="shared" si="0"/>
        <v>0</v>
      </c>
    </row>
    <row r="27" spans="2:13" x14ac:dyDescent="0.25">
      <c r="B27" s="161">
        <v>41590</v>
      </c>
      <c r="C27" s="12" t="s">
        <v>792</v>
      </c>
      <c r="D27" s="12" t="s">
        <v>457</v>
      </c>
      <c r="E27" s="12" t="s">
        <v>806</v>
      </c>
      <c r="F27" s="12" t="s">
        <v>791</v>
      </c>
      <c r="G27" s="55">
        <v>3506</v>
      </c>
      <c r="H27" s="55">
        <v>8151</v>
      </c>
      <c r="I27" s="2" t="b">
        <f t="shared" si="0"/>
        <v>0</v>
      </c>
    </row>
    <row r="28" spans="2:13" x14ac:dyDescent="0.25">
      <c r="B28" s="161">
        <v>41250</v>
      </c>
      <c r="C28" s="12" t="s">
        <v>802</v>
      </c>
      <c r="D28" s="12" t="s">
        <v>457</v>
      </c>
      <c r="E28" s="12" t="s">
        <v>804</v>
      </c>
      <c r="F28" s="12" t="s">
        <v>796</v>
      </c>
      <c r="G28" s="55">
        <v>3847</v>
      </c>
      <c r="H28" s="55">
        <v>6993</v>
      </c>
      <c r="I28" s="2" t="b">
        <f t="shared" si="0"/>
        <v>0</v>
      </c>
    </row>
    <row r="29" spans="2:13" x14ac:dyDescent="0.25">
      <c r="B29" s="161">
        <v>41583</v>
      </c>
      <c r="C29" s="12" t="s">
        <v>792</v>
      </c>
      <c r="D29" s="12" t="s">
        <v>801</v>
      </c>
      <c r="E29" s="12" t="s">
        <v>487</v>
      </c>
      <c r="F29" s="12" t="s">
        <v>791</v>
      </c>
      <c r="G29" s="55">
        <v>2510</v>
      </c>
      <c r="H29" s="55">
        <v>5838</v>
      </c>
      <c r="I29" s="2" t="b">
        <f t="shared" si="0"/>
        <v>0</v>
      </c>
    </row>
    <row r="30" spans="2:13" x14ac:dyDescent="0.25">
      <c r="B30" s="161">
        <v>41547</v>
      </c>
      <c r="C30" s="12" t="s">
        <v>790</v>
      </c>
      <c r="D30" s="12" t="s">
        <v>457</v>
      </c>
      <c r="E30" s="12" t="s">
        <v>798</v>
      </c>
      <c r="F30" s="12" t="s">
        <v>799</v>
      </c>
      <c r="G30" s="55">
        <v>629</v>
      </c>
      <c r="H30" s="55">
        <v>923</v>
      </c>
      <c r="I30" s="2" t="b">
        <f t="shared" si="0"/>
        <v>0</v>
      </c>
    </row>
    <row r="31" spans="2:13" x14ac:dyDescent="0.25">
      <c r="B31" s="161">
        <v>41148</v>
      </c>
      <c r="C31" s="12" t="s">
        <v>790</v>
      </c>
      <c r="D31" s="12" t="s">
        <v>457</v>
      </c>
      <c r="E31" s="12" t="s">
        <v>807</v>
      </c>
      <c r="F31" s="12" t="s">
        <v>796</v>
      </c>
      <c r="G31" s="55">
        <v>1441</v>
      </c>
      <c r="H31" s="55">
        <v>2444</v>
      </c>
      <c r="I31" s="2" t="b">
        <f t="shared" si="0"/>
        <v>0</v>
      </c>
    </row>
    <row r="32" spans="2:13" x14ac:dyDescent="0.25">
      <c r="B32" s="161">
        <v>41504</v>
      </c>
      <c r="C32" s="12" t="s">
        <v>792</v>
      </c>
      <c r="D32" s="12" t="s">
        <v>797</v>
      </c>
      <c r="E32" s="12" t="s">
        <v>800</v>
      </c>
      <c r="F32" s="12" t="s">
        <v>799</v>
      </c>
      <c r="G32" s="55">
        <v>2992</v>
      </c>
      <c r="H32" s="55">
        <v>3989</v>
      </c>
      <c r="I32" s="2" t="b">
        <f t="shared" si="0"/>
        <v>0</v>
      </c>
    </row>
    <row r="33" spans="2:9" x14ac:dyDescent="0.25">
      <c r="B33" s="161">
        <v>40958</v>
      </c>
      <c r="C33" s="12" t="s">
        <v>805</v>
      </c>
      <c r="D33" s="12" t="s">
        <v>801</v>
      </c>
      <c r="E33" s="12" t="s">
        <v>806</v>
      </c>
      <c r="F33" s="12" t="s">
        <v>799</v>
      </c>
      <c r="G33" s="55">
        <v>7658</v>
      </c>
      <c r="H33" s="55">
        <v>8702</v>
      </c>
      <c r="I33" s="2" t="b">
        <f t="shared" si="0"/>
        <v>0</v>
      </c>
    </row>
    <row r="34" spans="2:9" x14ac:dyDescent="0.25">
      <c r="B34" s="161">
        <v>41619</v>
      </c>
      <c r="C34" s="12" t="s">
        <v>802</v>
      </c>
      <c r="D34" s="12" t="s">
        <v>801</v>
      </c>
      <c r="E34" s="12" t="s">
        <v>806</v>
      </c>
      <c r="F34" s="12" t="s">
        <v>791</v>
      </c>
      <c r="G34" s="55">
        <v>3141</v>
      </c>
      <c r="H34" s="55">
        <v>5416</v>
      </c>
      <c r="I34" s="2" t="b">
        <f t="shared" si="0"/>
        <v>0</v>
      </c>
    </row>
    <row r="35" spans="2:9" x14ac:dyDescent="0.25">
      <c r="B35" s="161">
        <v>41350</v>
      </c>
      <c r="C35" s="12" t="s">
        <v>805</v>
      </c>
      <c r="D35" s="12" t="s">
        <v>801</v>
      </c>
      <c r="E35" s="12" t="s">
        <v>804</v>
      </c>
      <c r="F35" s="12" t="s">
        <v>796</v>
      </c>
      <c r="G35" s="55">
        <v>559</v>
      </c>
      <c r="H35" s="55">
        <v>1298</v>
      </c>
      <c r="I35" s="2" t="b">
        <f t="shared" si="0"/>
        <v>0</v>
      </c>
    </row>
    <row r="36" spans="2:9" x14ac:dyDescent="0.25">
      <c r="B36" s="161">
        <v>41244</v>
      </c>
      <c r="C36" s="12" t="s">
        <v>790</v>
      </c>
      <c r="D36" s="12" t="s">
        <v>652</v>
      </c>
      <c r="E36" s="12" t="s">
        <v>808</v>
      </c>
      <c r="F36" s="12" t="s">
        <v>791</v>
      </c>
      <c r="G36" s="55">
        <v>731</v>
      </c>
      <c r="H36" s="55">
        <v>1239</v>
      </c>
      <c r="I36" s="2" t="b">
        <f t="shared" si="0"/>
        <v>0</v>
      </c>
    </row>
    <row r="37" spans="2:9" x14ac:dyDescent="0.25">
      <c r="B37" s="161">
        <v>41369</v>
      </c>
      <c r="C37" s="12" t="s">
        <v>802</v>
      </c>
      <c r="D37" s="12" t="s">
        <v>652</v>
      </c>
      <c r="E37" s="12" t="s">
        <v>804</v>
      </c>
      <c r="F37" s="12" t="s">
        <v>799</v>
      </c>
      <c r="G37" s="55">
        <v>4009</v>
      </c>
      <c r="H37" s="55">
        <v>4556</v>
      </c>
      <c r="I37" s="2" t="b">
        <f t="shared" si="0"/>
        <v>0</v>
      </c>
    </row>
    <row r="38" spans="2:9" x14ac:dyDescent="0.25">
      <c r="B38" s="161">
        <v>41413</v>
      </c>
      <c r="C38" s="12" t="s">
        <v>790</v>
      </c>
      <c r="D38" s="12" t="s">
        <v>801</v>
      </c>
      <c r="E38" s="12" t="s">
        <v>607</v>
      </c>
      <c r="F38" s="12" t="s">
        <v>796</v>
      </c>
      <c r="G38" s="55">
        <v>1856</v>
      </c>
      <c r="H38" s="55">
        <v>4314</v>
      </c>
      <c r="I38" s="2" t="b">
        <f t="shared" si="0"/>
        <v>0</v>
      </c>
    </row>
    <row r="39" spans="2:9" x14ac:dyDescent="0.25">
      <c r="B39" s="161">
        <v>41024</v>
      </c>
      <c r="C39" s="12" t="s">
        <v>802</v>
      </c>
      <c r="D39" s="12" t="s">
        <v>797</v>
      </c>
      <c r="E39" s="12" t="s">
        <v>806</v>
      </c>
      <c r="F39" s="12" t="s">
        <v>794</v>
      </c>
      <c r="G39" s="55">
        <v>4662</v>
      </c>
      <c r="H39" s="55">
        <v>6857</v>
      </c>
      <c r="I39" s="2" t="b">
        <f t="shared" si="0"/>
        <v>0</v>
      </c>
    </row>
    <row r="40" spans="2:9" x14ac:dyDescent="0.25">
      <c r="B40" s="161">
        <v>41541</v>
      </c>
      <c r="C40" s="12" t="s">
        <v>802</v>
      </c>
      <c r="D40" s="12" t="s">
        <v>801</v>
      </c>
      <c r="E40" s="12" t="s">
        <v>487</v>
      </c>
      <c r="F40" s="12" t="s">
        <v>794</v>
      </c>
      <c r="G40" s="55">
        <v>1267</v>
      </c>
      <c r="H40" s="55">
        <v>2305</v>
      </c>
      <c r="I40" s="2" t="b">
        <f t="shared" si="0"/>
        <v>0</v>
      </c>
    </row>
    <row r="41" spans="2:9" x14ac:dyDescent="0.25">
      <c r="B41" s="161">
        <v>41077</v>
      </c>
      <c r="C41" s="12" t="s">
        <v>792</v>
      </c>
      <c r="D41" s="12" t="s">
        <v>457</v>
      </c>
      <c r="E41" s="12" t="s">
        <v>807</v>
      </c>
      <c r="F41" s="12" t="s">
        <v>791</v>
      </c>
      <c r="G41" s="55">
        <v>6306</v>
      </c>
      <c r="H41" s="55">
        <v>9272</v>
      </c>
      <c r="I41" s="2" t="b">
        <f t="shared" si="0"/>
        <v>0</v>
      </c>
    </row>
    <row r="42" spans="2:9" x14ac:dyDescent="0.25">
      <c r="B42" s="161">
        <v>41418</v>
      </c>
      <c r="C42" s="12" t="s">
        <v>805</v>
      </c>
      <c r="D42" s="12" t="s">
        <v>457</v>
      </c>
      <c r="E42" s="12" t="s">
        <v>798</v>
      </c>
      <c r="F42" s="12" t="s">
        <v>799</v>
      </c>
      <c r="G42" s="55">
        <v>6515</v>
      </c>
      <c r="H42" s="55">
        <v>8687</v>
      </c>
      <c r="I42" s="2" t="b">
        <f t="shared" si="0"/>
        <v>0</v>
      </c>
    </row>
    <row r="43" spans="2:9" x14ac:dyDescent="0.25">
      <c r="B43" s="161">
        <v>41567</v>
      </c>
      <c r="C43" s="12" t="s">
        <v>802</v>
      </c>
      <c r="D43" s="12" t="s">
        <v>801</v>
      </c>
      <c r="E43" s="12" t="s">
        <v>808</v>
      </c>
      <c r="F43" s="12" t="s">
        <v>799</v>
      </c>
      <c r="G43" s="55">
        <v>613</v>
      </c>
      <c r="H43" s="55">
        <v>1361</v>
      </c>
      <c r="I43" s="2" t="b">
        <f t="shared" si="0"/>
        <v>0</v>
      </c>
    </row>
    <row r="44" spans="2:9" x14ac:dyDescent="0.25">
      <c r="B44" s="161">
        <v>41283</v>
      </c>
      <c r="C44" s="12" t="s">
        <v>805</v>
      </c>
      <c r="D44" s="12" t="s">
        <v>797</v>
      </c>
      <c r="E44" s="12" t="s">
        <v>806</v>
      </c>
      <c r="F44" s="12" t="s">
        <v>791</v>
      </c>
      <c r="G44" s="55">
        <v>3331</v>
      </c>
      <c r="H44" s="55">
        <v>7401</v>
      </c>
      <c r="I44" s="2" t="b">
        <f t="shared" si="0"/>
        <v>0</v>
      </c>
    </row>
    <row r="45" spans="2:9" x14ac:dyDescent="0.25">
      <c r="B45" s="161">
        <v>41272</v>
      </c>
      <c r="C45" s="12" t="s">
        <v>802</v>
      </c>
      <c r="D45" s="12" t="s">
        <v>797</v>
      </c>
      <c r="E45" s="12" t="s">
        <v>607</v>
      </c>
      <c r="F45" s="12" t="s">
        <v>791</v>
      </c>
      <c r="G45" s="55">
        <v>360</v>
      </c>
      <c r="H45" s="55">
        <v>619</v>
      </c>
      <c r="I45" s="2" t="b">
        <f t="shared" si="0"/>
        <v>0</v>
      </c>
    </row>
    <row r="46" spans="2:9" x14ac:dyDescent="0.25">
      <c r="B46" s="161">
        <v>41530</v>
      </c>
      <c r="C46" s="12" t="s">
        <v>792</v>
      </c>
      <c r="D46" s="12" t="s">
        <v>797</v>
      </c>
      <c r="E46" s="12" t="s">
        <v>804</v>
      </c>
      <c r="F46" s="12" t="s">
        <v>791</v>
      </c>
      <c r="G46" s="55">
        <v>2308</v>
      </c>
      <c r="H46" s="55">
        <v>6235</v>
      </c>
      <c r="I46" s="2" t="b">
        <f t="shared" si="0"/>
        <v>0</v>
      </c>
    </row>
    <row r="47" spans="2:9" x14ac:dyDescent="0.25">
      <c r="B47" s="161">
        <v>41041</v>
      </c>
      <c r="C47" s="12" t="s">
        <v>805</v>
      </c>
      <c r="D47" s="12" t="s">
        <v>797</v>
      </c>
      <c r="E47" s="12" t="s">
        <v>806</v>
      </c>
      <c r="F47" s="12" t="s">
        <v>799</v>
      </c>
      <c r="G47" s="55">
        <v>4765</v>
      </c>
      <c r="H47" s="55">
        <v>8215</v>
      </c>
      <c r="I47" s="2" t="b">
        <f t="shared" si="0"/>
        <v>0</v>
      </c>
    </row>
    <row r="48" spans="2:9" x14ac:dyDescent="0.25">
      <c r="B48" s="161">
        <v>41119</v>
      </c>
      <c r="C48" s="12" t="s">
        <v>805</v>
      </c>
      <c r="D48" s="12" t="s">
        <v>801</v>
      </c>
      <c r="E48" s="12" t="s">
        <v>487</v>
      </c>
      <c r="F48" s="12" t="s">
        <v>791</v>
      </c>
      <c r="G48" s="55">
        <v>4676</v>
      </c>
      <c r="H48" s="55">
        <v>8501</v>
      </c>
      <c r="I48" s="2" t="b">
        <f t="shared" si="0"/>
        <v>0</v>
      </c>
    </row>
    <row r="49" spans="2:9" x14ac:dyDescent="0.25">
      <c r="B49" s="161">
        <v>41376</v>
      </c>
      <c r="C49" s="12" t="s">
        <v>790</v>
      </c>
      <c r="D49" s="12" t="s">
        <v>797</v>
      </c>
      <c r="E49" s="12" t="s">
        <v>807</v>
      </c>
      <c r="F49" s="12" t="s">
        <v>794</v>
      </c>
      <c r="G49" s="55">
        <v>4296</v>
      </c>
      <c r="H49" s="55">
        <v>7409</v>
      </c>
      <c r="I49" s="2" t="b">
        <f t="shared" si="0"/>
        <v>0</v>
      </c>
    </row>
    <row r="50" spans="2:9" x14ac:dyDescent="0.25">
      <c r="B50" s="161">
        <v>41032</v>
      </c>
      <c r="C50" s="12" t="s">
        <v>805</v>
      </c>
      <c r="D50" s="12" t="s">
        <v>457</v>
      </c>
      <c r="E50" s="12" t="s">
        <v>808</v>
      </c>
      <c r="F50" s="12" t="s">
        <v>799</v>
      </c>
      <c r="G50" s="55">
        <v>2077</v>
      </c>
      <c r="H50" s="55">
        <v>3775</v>
      </c>
      <c r="I50" s="2" t="b">
        <f t="shared" si="0"/>
        <v>0</v>
      </c>
    </row>
    <row r="51" spans="2:9" x14ac:dyDescent="0.25">
      <c r="B51" s="161">
        <v>41107</v>
      </c>
      <c r="C51" s="12" t="s">
        <v>790</v>
      </c>
      <c r="D51" s="12" t="s">
        <v>801</v>
      </c>
      <c r="E51" s="12" t="s">
        <v>795</v>
      </c>
      <c r="F51" s="12" t="s">
        <v>791</v>
      </c>
      <c r="G51" s="55">
        <v>1211</v>
      </c>
      <c r="H51" s="55">
        <v>1614</v>
      </c>
      <c r="I51" s="2" t="b">
        <f t="shared" si="0"/>
        <v>0</v>
      </c>
    </row>
    <row r="52" spans="2:9" x14ac:dyDescent="0.25">
      <c r="B52" s="161">
        <v>41594</v>
      </c>
      <c r="C52" s="12" t="s">
        <v>802</v>
      </c>
      <c r="D52" s="12" t="s">
        <v>652</v>
      </c>
      <c r="E52" s="12" t="s">
        <v>803</v>
      </c>
      <c r="F52" s="12" t="s">
        <v>799</v>
      </c>
      <c r="G52" s="55">
        <v>5399</v>
      </c>
      <c r="H52" s="55">
        <v>9310</v>
      </c>
      <c r="I52" s="2" t="b">
        <f t="shared" si="0"/>
        <v>0</v>
      </c>
    </row>
    <row r="53" spans="2:9" x14ac:dyDescent="0.25">
      <c r="B53" s="161">
        <v>41349</v>
      </c>
      <c r="C53" s="12" t="s">
        <v>802</v>
      </c>
      <c r="D53" s="12" t="s">
        <v>797</v>
      </c>
      <c r="E53" s="12" t="s">
        <v>795</v>
      </c>
      <c r="F53" s="12" t="s">
        <v>794</v>
      </c>
      <c r="G53" s="55">
        <v>606</v>
      </c>
      <c r="H53" s="55">
        <v>1103</v>
      </c>
      <c r="I53" s="2" t="b">
        <f t="shared" si="0"/>
        <v>0</v>
      </c>
    </row>
    <row r="54" spans="2:9" x14ac:dyDescent="0.25">
      <c r="B54" s="161">
        <v>41503</v>
      </c>
      <c r="C54" s="12" t="s">
        <v>805</v>
      </c>
      <c r="D54" s="12" t="s">
        <v>801</v>
      </c>
      <c r="E54" s="12" t="s">
        <v>793</v>
      </c>
      <c r="F54" s="12" t="s">
        <v>794</v>
      </c>
      <c r="G54" s="55">
        <v>3420</v>
      </c>
      <c r="H54" s="55">
        <v>6216</v>
      </c>
      <c r="I54" s="2" t="b">
        <f t="shared" si="0"/>
        <v>0</v>
      </c>
    </row>
    <row r="55" spans="2:9" x14ac:dyDescent="0.25">
      <c r="B55" s="161">
        <v>41195</v>
      </c>
      <c r="C55" s="12" t="s">
        <v>805</v>
      </c>
      <c r="D55" s="12" t="s">
        <v>457</v>
      </c>
      <c r="E55" s="12" t="s">
        <v>793</v>
      </c>
      <c r="F55" s="12" t="s">
        <v>796</v>
      </c>
      <c r="G55" s="55">
        <v>2705</v>
      </c>
      <c r="H55" s="55">
        <v>3074</v>
      </c>
      <c r="I55" s="2" t="b">
        <f t="shared" si="0"/>
        <v>0</v>
      </c>
    </row>
    <row r="56" spans="2:9" x14ac:dyDescent="0.25">
      <c r="B56" s="161">
        <v>41543</v>
      </c>
      <c r="C56" s="12" t="s">
        <v>802</v>
      </c>
      <c r="D56" s="12" t="s">
        <v>801</v>
      </c>
      <c r="E56" s="12" t="s">
        <v>806</v>
      </c>
      <c r="F56" s="12" t="s">
        <v>791</v>
      </c>
      <c r="G56" s="55">
        <v>5590</v>
      </c>
      <c r="H56" s="55">
        <v>7454</v>
      </c>
      <c r="I56" s="2" t="b">
        <f t="shared" si="0"/>
        <v>0</v>
      </c>
    </row>
    <row r="57" spans="2:9" x14ac:dyDescent="0.25">
      <c r="B57" s="161">
        <v>41437</v>
      </c>
      <c r="C57" s="12" t="s">
        <v>790</v>
      </c>
      <c r="D57" s="12" t="s">
        <v>797</v>
      </c>
      <c r="E57" s="12" t="s">
        <v>803</v>
      </c>
      <c r="F57" s="12" t="s">
        <v>791</v>
      </c>
      <c r="G57" s="55">
        <v>3439</v>
      </c>
      <c r="H57" s="55">
        <v>5928</v>
      </c>
      <c r="I57" s="2" t="b">
        <f t="shared" si="0"/>
        <v>0</v>
      </c>
    </row>
    <row r="58" spans="2:9" x14ac:dyDescent="0.25">
      <c r="B58" s="161">
        <v>41014</v>
      </c>
      <c r="C58" s="12" t="s">
        <v>792</v>
      </c>
      <c r="D58" s="12" t="s">
        <v>797</v>
      </c>
      <c r="E58" s="12" t="s">
        <v>800</v>
      </c>
      <c r="F58" s="12" t="s">
        <v>791</v>
      </c>
      <c r="G58" s="55">
        <v>1183</v>
      </c>
      <c r="H58" s="55">
        <v>3195</v>
      </c>
      <c r="I58" s="2" t="b">
        <f t="shared" si="0"/>
        <v>0</v>
      </c>
    </row>
    <row r="59" spans="2:9" x14ac:dyDescent="0.25">
      <c r="B59" s="161">
        <v>41638</v>
      </c>
      <c r="C59" s="12" t="s">
        <v>790</v>
      </c>
      <c r="D59" s="12" t="s">
        <v>652</v>
      </c>
      <c r="E59" s="12" t="s">
        <v>803</v>
      </c>
      <c r="F59" s="12" t="s">
        <v>796</v>
      </c>
      <c r="G59" s="55">
        <v>5338</v>
      </c>
      <c r="H59" s="55">
        <v>7118</v>
      </c>
      <c r="I59" s="2" t="b">
        <f t="shared" si="0"/>
        <v>0</v>
      </c>
    </row>
    <row r="60" spans="2:9" x14ac:dyDescent="0.25">
      <c r="B60" s="161">
        <v>41167</v>
      </c>
      <c r="C60" s="12" t="s">
        <v>802</v>
      </c>
      <c r="D60" s="12" t="s">
        <v>801</v>
      </c>
      <c r="E60" s="12" t="s">
        <v>803</v>
      </c>
      <c r="F60" s="12" t="s">
        <v>791</v>
      </c>
      <c r="G60" s="55">
        <v>3251</v>
      </c>
      <c r="H60" s="55">
        <v>4336</v>
      </c>
      <c r="I60" s="2" t="b">
        <f t="shared" si="0"/>
        <v>0</v>
      </c>
    </row>
    <row r="61" spans="2:9" x14ac:dyDescent="0.25">
      <c r="B61" s="161">
        <v>41040</v>
      </c>
      <c r="C61" s="12" t="s">
        <v>802</v>
      </c>
      <c r="D61" s="12" t="s">
        <v>797</v>
      </c>
      <c r="E61" s="12" t="s">
        <v>795</v>
      </c>
      <c r="F61" s="12" t="s">
        <v>799</v>
      </c>
      <c r="G61" s="55">
        <v>3546</v>
      </c>
      <c r="H61" s="55">
        <v>3792</v>
      </c>
      <c r="I61" s="2" t="b">
        <f t="shared" si="0"/>
        <v>0</v>
      </c>
    </row>
    <row r="62" spans="2:9" x14ac:dyDescent="0.25">
      <c r="B62" s="161">
        <v>40974</v>
      </c>
      <c r="C62" s="12" t="s">
        <v>792</v>
      </c>
      <c r="D62" s="12" t="s">
        <v>797</v>
      </c>
      <c r="E62" s="12" t="s">
        <v>793</v>
      </c>
      <c r="F62" s="12" t="s">
        <v>791</v>
      </c>
      <c r="G62" s="55">
        <v>3156</v>
      </c>
      <c r="H62" s="55">
        <v>5347</v>
      </c>
      <c r="I62" s="2" t="b">
        <f t="shared" si="0"/>
        <v>0</v>
      </c>
    </row>
    <row r="63" spans="2:9" x14ac:dyDescent="0.25">
      <c r="B63" s="161">
        <v>41170</v>
      </c>
      <c r="C63" s="12" t="s">
        <v>805</v>
      </c>
      <c r="D63" s="12" t="s">
        <v>797</v>
      </c>
      <c r="E63" s="12" t="s">
        <v>607</v>
      </c>
      <c r="F63" s="12" t="s">
        <v>799</v>
      </c>
      <c r="G63" s="55">
        <v>448</v>
      </c>
      <c r="H63" s="55">
        <v>659</v>
      </c>
      <c r="I63" s="2" t="b">
        <f t="shared" si="0"/>
        <v>0</v>
      </c>
    </row>
    <row r="64" spans="2:9" x14ac:dyDescent="0.25">
      <c r="B64" s="161">
        <v>41370</v>
      </c>
      <c r="C64" s="12" t="s">
        <v>802</v>
      </c>
      <c r="D64" s="12" t="s">
        <v>797</v>
      </c>
      <c r="E64" s="12" t="s">
        <v>804</v>
      </c>
      <c r="F64" s="12" t="s">
        <v>794</v>
      </c>
      <c r="G64" s="55">
        <v>1935</v>
      </c>
      <c r="H64" s="55">
        <v>2199</v>
      </c>
      <c r="I64" s="2" t="b">
        <f t="shared" si="0"/>
        <v>0</v>
      </c>
    </row>
    <row r="65" spans="2:9" x14ac:dyDescent="0.25">
      <c r="B65" s="161">
        <v>41524</v>
      </c>
      <c r="C65" s="12" t="s">
        <v>805</v>
      </c>
      <c r="D65" s="12" t="s">
        <v>801</v>
      </c>
      <c r="E65" s="12" t="s">
        <v>803</v>
      </c>
      <c r="F65" s="12" t="s">
        <v>799</v>
      </c>
      <c r="G65" s="55">
        <v>5048</v>
      </c>
      <c r="H65" s="55">
        <v>5399</v>
      </c>
      <c r="I65" s="2" t="b">
        <f t="shared" si="0"/>
        <v>0</v>
      </c>
    </row>
    <row r="66" spans="2:9" x14ac:dyDescent="0.25">
      <c r="B66" s="161">
        <v>40955</v>
      </c>
      <c r="C66" s="12" t="s">
        <v>802</v>
      </c>
      <c r="D66" s="12" t="s">
        <v>801</v>
      </c>
      <c r="E66" s="12" t="s">
        <v>795</v>
      </c>
      <c r="F66" s="12" t="s">
        <v>791</v>
      </c>
      <c r="G66" s="55">
        <v>4271</v>
      </c>
      <c r="H66" s="55">
        <v>7364</v>
      </c>
      <c r="I66" s="2" t="b">
        <f t="shared" si="0"/>
        <v>0</v>
      </c>
    </row>
    <row r="67" spans="2:9" x14ac:dyDescent="0.25">
      <c r="B67" s="161">
        <v>41635</v>
      </c>
      <c r="C67" s="12" t="s">
        <v>805</v>
      </c>
      <c r="D67" s="12" t="s">
        <v>801</v>
      </c>
      <c r="E67" s="12" t="s">
        <v>795</v>
      </c>
      <c r="F67" s="12" t="s">
        <v>799</v>
      </c>
      <c r="G67" s="55">
        <v>5833</v>
      </c>
      <c r="H67" s="55">
        <v>7778</v>
      </c>
      <c r="I67" s="2" t="b">
        <f t="shared" si="0"/>
        <v>0</v>
      </c>
    </row>
    <row r="68" spans="2:9" x14ac:dyDescent="0.25">
      <c r="B68" s="161">
        <v>41182</v>
      </c>
      <c r="C68" s="12" t="s">
        <v>805</v>
      </c>
      <c r="D68" s="12" t="s">
        <v>801</v>
      </c>
      <c r="E68" s="12" t="s">
        <v>487</v>
      </c>
      <c r="F68" s="12" t="s">
        <v>799</v>
      </c>
      <c r="G68" s="55">
        <v>502</v>
      </c>
      <c r="H68" s="55">
        <v>1354</v>
      </c>
      <c r="I68" s="2" t="b">
        <f t="shared" si="0"/>
        <v>0</v>
      </c>
    </row>
    <row r="69" spans="2:9" x14ac:dyDescent="0.25">
      <c r="B69" s="161">
        <v>41197</v>
      </c>
      <c r="C69" s="12" t="s">
        <v>805</v>
      </c>
      <c r="D69" s="12" t="s">
        <v>652</v>
      </c>
      <c r="E69" s="12" t="s">
        <v>807</v>
      </c>
      <c r="F69" s="12" t="s">
        <v>791</v>
      </c>
      <c r="G69" s="55">
        <v>816</v>
      </c>
      <c r="H69" s="55">
        <v>1383</v>
      </c>
      <c r="I69" s="2" t="b">
        <f t="shared" si="0"/>
        <v>0</v>
      </c>
    </row>
    <row r="70" spans="2:9" x14ac:dyDescent="0.25">
      <c r="B70" s="161">
        <v>41607</v>
      </c>
      <c r="C70" s="12" t="s">
        <v>802</v>
      </c>
      <c r="D70" s="12" t="s">
        <v>457</v>
      </c>
      <c r="E70" s="12" t="s">
        <v>807</v>
      </c>
      <c r="F70" s="12" t="s">
        <v>799</v>
      </c>
      <c r="G70" s="55">
        <v>2676</v>
      </c>
      <c r="H70" s="55">
        <v>4533</v>
      </c>
      <c r="I70" s="2" t="b">
        <f t="shared" si="0"/>
        <v>0</v>
      </c>
    </row>
    <row r="71" spans="2:9" x14ac:dyDescent="0.25">
      <c r="B71" s="161">
        <v>40996</v>
      </c>
      <c r="C71" s="12" t="s">
        <v>802</v>
      </c>
      <c r="D71" s="12" t="s">
        <v>457</v>
      </c>
      <c r="E71" s="12" t="s">
        <v>795</v>
      </c>
      <c r="F71" s="12" t="s">
        <v>799</v>
      </c>
      <c r="G71" s="55">
        <v>4341</v>
      </c>
      <c r="H71" s="55">
        <v>7485</v>
      </c>
      <c r="I71" s="2" t="b">
        <f t="shared" ref="I71:I134" si="2">AND($K$9=C71,$L$9=D71,$M$9=F71)</f>
        <v>0</v>
      </c>
    </row>
    <row r="72" spans="2:9" x14ac:dyDescent="0.25">
      <c r="B72" s="161">
        <v>41568</v>
      </c>
      <c r="C72" s="12" t="s">
        <v>805</v>
      </c>
      <c r="D72" s="12" t="s">
        <v>801</v>
      </c>
      <c r="E72" s="12" t="s">
        <v>809</v>
      </c>
      <c r="F72" s="12" t="s">
        <v>799</v>
      </c>
      <c r="G72" s="55">
        <v>8597</v>
      </c>
      <c r="H72" s="55">
        <v>9196</v>
      </c>
      <c r="I72" s="2" t="b">
        <f t="shared" si="2"/>
        <v>0</v>
      </c>
    </row>
    <row r="73" spans="2:9" x14ac:dyDescent="0.25">
      <c r="B73" s="161">
        <v>40970</v>
      </c>
      <c r="C73" s="12" t="s">
        <v>790</v>
      </c>
      <c r="D73" s="12" t="s">
        <v>801</v>
      </c>
      <c r="E73" s="12" t="s">
        <v>808</v>
      </c>
      <c r="F73" s="12" t="s">
        <v>799</v>
      </c>
      <c r="G73" s="55">
        <v>3828</v>
      </c>
      <c r="H73" s="55">
        <v>8505</v>
      </c>
      <c r="I73" s="2" t="b">
        <f t="shared" si="2"/>
        <v>0</v>
      </c>
    </row>
    <row r="74" spans="2:9" x14ac:dyDescent="0.25">
      <c r="B74" s="161">
        <v>41526</v>
      </c>
      <c r="C74" s="12" t="s">
        <v>802</v>
      </c>
      <c r="D74" s="12" t="s">
        <v>797</v>
      </c>
      <c r="E74" s="12" t="s">
        <v>798</v>
      </c>
      <c r="F74" s="12" t="s">
        <v>799</v>
      </c>
      <c r="G74" s="55">
        <v>1725</v>
      </c>
      <c r="H74" s="55">
        <v>2973</v>
      </c>
      <c r="I74" s="2" t="b">
        <f t="shared" si="2"/>
        <v>0</v>
      </c>
    </row>
    <row r="75" spans="2:9" x14ac:dyDescent="0.25">
      <c r="B75" s="161">
        <v>40969</v>
      </c>
      <c r="C75" s="12" t="s">
        <v>802</v>
      </c>
      <c r="D75" s="12" t="s">
        <v>652</v>
      </c>
      <c r="E75" s="12" t="s">
        <v>804</v>
      </c>
      <c r="F75" s="12" t="s">
        <v>794</v>
      </c>
      <c r="G75" s="55">
        <v>3186</v>
      </c>
      <c r="H75" s="55">
        <v>8611</v>
      </c>
      <c r="I75" s="2" t="b">
        <f t="shared" si="2"/>
        <v>0</v>
      </c>
    </row>
    <row r="76" spans="2:9" x14ac:dyDescent="0.25">
      <c r="B76" s="161">
        <v>41340</v>
      </c>
      <c r="C76" s="12" t="s">
        <v>792</v>
      </c>
      <c r="D76" s="12" t="s">
        <v>652</v>
      </c>
      <c r="E76" s="12" t="s">
        <v>798</v>
      </c>
      <c r="F76" s="12" t="s">
        <v>799</v>
      </c>
      <c r="G76" s="55">
        <v>2672</v>
      </c>
      <c r="H76" s="55">
        <v>4859</v>
      </c>
      <c r="I76" s="2" t="b">
        <f t="shared" si="2"/>
        <v>0</v>
      </c>
    </row>
    <row r="77" spans="2:9" x14ac:dyDescent="0.25">
      <c r="B77" s="161">
        <v>41410</v>
      </c>
      <c r="C77" s="12" t="s">
        <v>790</v>
      </c>
      <c r="D77" s="12" t="s">
        <v>797</v>
      </c>
      <c r="E77" s="12" t="s">
        <v>803</v>
      </c>
      <c r="F77" s="12" t="s">
        <v>799</v>
      </c>
      <c r="G77" s="55">
        <v>273</v>
      </c>
      <c r="H77" s="55">
        <v>606</v>
      </c>
      <c r="I77" s="2" t="b">
        <f t="shared" si="2"/>
        <v>0</v>
      </c>
    </row>
    <row r="78" spans="2:9" x14ac:dyDescent="0.25">
      <c r="B78" s="161">
        <v>41257</v>
      </c>
      <c r="C78" s="12" t="s">
        <v>805</v>
      </c>
      <c r="D78" s="12" t="s">
        <v>652</v>
      </c>
      <c r="E78" s="12" t="s">
        <v>809</v>
      </c>
      <c r="F78" s="12" t="s">
        <v>796</v>
      </c>
      <c r="G78" s="55">
        <v>948</v>
      </c>
      <c r="H78" s="55">
        <v>2204</v>
      </c>
      <c r="I78" s="2" t="b">
        <f t="shared" si="2"/>
        <v>0</v>
      </c>
    </row>
    <row r="79" spans="2:9" x14ac:dyDescent="0.25">
      <c r="B79" s="161">
        <v>41112</v>
      </c>
      <c r="C79" s="12" t="s">
        <v>802</v>
      </c>
      <c r="D79" s="12" t="s">
        <v>457</v>
      </c>
      <c r="E79" s="12" t="s">
        <v>803</v>
      </c>
      <c r="F79" s="12" t="s">
        <v>799</v>
      </c>
      <c r="G79" s="55">
        <v>651</v>
      </c>
      <c r="H79" s="55">
        <v>1181</v>
      </c>
      <c r="I79" s="2" t="b">
        <f t="shared" si="2"/>
        <v>0</v>
      </c>
    </row>
    <row r="80" spans="2:9" x14ac:dyDescent="0.25">
      <c r="B80" s="161">
        <v>41178</v>
      </c>
      <c r="C80" s="12" t="s">
        <v>792</v>
      </c>
      <c r="D80" s="12" t="s">
        <v>457</v>
      </c>
      <c r="E80" s="12" t="s">
        <v>798</v>
      </c>
      <c r="F80" s="12" t="s">
        <v>796</v>
      </c>
      <c r="G80" s="55">
        <v>1732</v>
      </c>
      <c r="H80" s="55">
        <v>2985</v>
      </c>
      <c r="I80" s="2" t="b">
        <f t="shared" si="2"/>
        <v>0</v>
      </c>
    </row>
    <row r="81" spans="2:9" x14ac:dyDescent="0.25">
      <c r="B81" s="161">
        <v>41000</v>
      </c>
      <c r="C81" s="12" t="s">
        <v>805</v>
      </c>
      <c r="D81" s="12" t="s">
        <v>801</v>
      </c>
      <c r="E81" s="12" t="s">
        <v>809</v>
      </c>
      <c r="F81" s="12" t="s">
        <v>799</v>
      </c>
      <c r="G81" s="55">
        <v>6033</v>
      </c>
      <c r="H81" s="55">
        <v>6453</v>
      </c>
      <c r="I81" s="2" t="b">
        <f t="shared" si="2"/>
        <v>0</v>
      </c>
    </row>
    <row r="82" spans="2:9" x14ac:dyDescent="0.25">
      <c r="B82" s="161">
        <v>41384</v>
      </c>
      <c r="C82" s="12" t="s">
        <v>802</v>
      </c>
      <c r="D82" s="12" t="s">
        <v>652</v>
      </c>
      <c r="E82" s="12" t="s">
        <v>487</v>
      </c>
      <c r="F82" s="12" t="s">
        <v>794</v>
      </c>
      <c r="G82" s="55">
        <v>641</v>
      </c>
      <c r="H82" s="55">
        <v>1087</v>
      </c>
      <c r="I82" s="2" t="b">
        <f t="shared" si="2"/>
        <v>0</v>
      </c>
    </row>
    <row r="83" spans="2:9" x14ac:dyDescent="0.25">
      <c r="B83" s="161">
        <v>40919</v>
      </c>
      <c r="C83" s="12" t="s">
        <v>805</v>
      </c>
      <c r="D83" s="12" t="s">
        <v>457</v>
      </c>
      <c r="E83" s="12" t="s">
        <v>808</v>
      </c>
      <c r="F83" s="12" t="s">
        <v>799</v>
      </c>
      <c r="G83" s="55">
        <v>5217</v>
      </c>
      <c r="H83" s="55">
        <v>5929</v>
      </c>
      <c r="I83" s="2" t="b">
        <f t="shared" si="2"/>
        <v>0</v>
      </c>
    </row>
    <row r="84" spans="2:9" x14ac:dyDescent="0.25">
      <c r="B84" s="161">
        <v>41128</v>
      </c>
      <c r="C84" s="12" t="s">
        <v>790</v>
      </c>
      <c r="D84" s="12" t="s">
        <v>457</v>
      </c>
      <c r="E84" s="12" t="s">
        <v>808</v>
      </c>
      <c r="F84" s="12" t="s">
        <v>791</v>
      </c>
      <c r="G84" s="55">
        <v>6551</v>
      </c>
      <c r="H84" s="55">
        <v>7005</v>
      </c>
      <c r="I84" s="2" t="b">
        <f t="shared" si="2"/>
        <v>0</v>
      </c>
    </row>
    <row r="85" spans="2:9" x14ac:dyDescent="0.25">
      <c r="B85" s="161">
        <v>41185</v>
      </c>
      <c r="C85" s="12" t="s">
        <v>790</v>
      </c>
      <c r="D85" s="12" t="s">
        <v>797</v>
      </c>
      <c r="E85" s="12" t="s">
        <v>803</v>
      </c>
      <c r="F85" s="12" t="s">
        <v>794</v>
      </c>
      <c r="G85" s="55">
        <v>1462</v>
      </c>
      <c r="H85" s="55">
        <v>3949</v>
      </c>
      <c r="I85" s="2" t="b">
        <f t="shared" si="2"/>
        <v>0</v>
      </c>
    </row>
    <row r="86" spans="2:9" x14ac:dyDescent="0.25">
      <c r="B86" s="161">
        <v>41619</v>
      </c>
      <c r="C86" s="12" t="s">
        <v>790</v>
      </c>
      <c r="D86" s="12" t="s">
        <v>801</v>
      </c>
      <c r="E86" s="12" t="s">
        <v>798</v>
      </c>
      <c r="F86" s="12" t="s">
        <v>794</v>
      </c>
      <c r="G86" s="55">
        <v>3414</v>
      </c>
      <c r="H86" s="55">
        <v>9227</v>
      </c>
      <c r="I86" s="2" t="b">
        <f t="shared" si="2"/>
        <v>0</v>
      </c>
    </row>
    <row r="87" spans="2:9" x14ac:dyDescent="0.25">
      <c r="B87" s="161">
        <v>40922</v>
      </c>
      <c r="C87" s="12" t="s">
        <v>805</v>
      </c>
      <c r="D87" s="12" t="s">
        <v>652</v>
      </c>
      <c r="E87" s="12" t="s">
        <v>793</v>
      </c>
      <c r="F87" s="12" t="s">
        <v>794</v>
      </c>
      <c r="G87" s="55">
        <v>2675</v>
      </c>
      <c r="H87" s="55">
        <v>4864</v>
      </c>
      <c r="I87" s="2" t="b">
        <f t="shared" si="2"/>
        <v>0</v>
      </c>
    </row>
    <row r="88" spans="2:9" x14ac:dyDescent="0.25">
      <c r="B88" s="161">
        <v>41114</v>
      </c>
      <c r="C88" s="12" t="s">
        <v>802</v>
      </c>
      <c r="D88" s="12" t="s">
        <v>457</v>
      </c>
      <c r="E88" s="12" t="s">
        <v>807</v>
      </c>
      <c r="F88" s="12" t="s">
        <v>791</v>
      </c>
      <c r="G88" s="55">
        <v>3411</v>
      </c>
      <c r="H88" s="55">
        <v>7579</v>
      </c>
      <c r="I88" s="2" t="b">
        <f t="shared" si="2"/>
        <v>0</v>
      </c>
    </row>
    <row r="89" spans="2:9" x14ac:dyDescent="0.25">
      <c r="B89" s="161">
        <v>41282</v>
      </c>
      <c r="C89" s="12" t="s">
        <v>805</v>
      </c>
      <c r="D89" s="12" t="s">
        <v>457</v>
      </c>
      <c r="E89" s="12" t="s">
        <v>809</v>
      </c>
      <c r="F89" s="12" t="s">
        <v>799</v>
      </c>
      <c r="G89" s="55">
        <v>2173</v>
      </c>
      <c r="H89" s="55">
        <v>3684</v>
      </c>
      <c r="I89" s="2" t="b">
        <f t="shared" si="2"/>
        <v>0</v>
      </c>
    </row>
    <row r="90" spans="2:9" x14ac:dyDescent="0.25">
      <c r="B90" s="161">
        <v>41067</v>
      </c>
      <c r="C90" s="12" t="s">
        <v>805</v>
      </c>
      <c r="D90" s="12" t="s">
        <v>652</v>
      </c>
      <c r="E90" s="12" t="s">
        <v>808</v>
      </c>
      <c r="F90" s="12" t="s">
        <v>796</v>
      </c>
      <c r="G90" s="55">
        <v>3388</v>
      </c>
      <c r="H90" s="55">
        <v>7527</v>
      </c>
      <c r="I90" s="2" t="b">
        <f t="shared" si="2"/>
        <v>0</v>
      </c>
    </row>
    <row r="91" spans="2:9" x14ac:dyDescent="0.25">
      <c r="B91" s="161">
        <v>41322</v>
      </c>
      <c r="C91" s="12" t="s">
        <v>792</v>
      </c>
      <c r="D91" s="12" t="s">
        <v>652</v>
      </c>
      <c r="E91" s="12" t="s">
        <v>809</v>
      </c>
      <c r="F91" s="12" t="s">
        <v>799</v>
      </c>
      <c r="G91" s="55">
        <v>2268</v>
      </c>
      <c r="H91" s="55">
        <v>5273</v>
      </c>
      <c r="I91" s="2" t="b">
        <f t="shared" si="2"/>
        <v>0</v>
      </c>
    </row>
    <row r="92" spans="2:9" x14ac:dyDescent="0.25">
      <c r="B92" s="161">
        <v>41070</v>
      </c>
      <c r="C92" s="12" t="s">
        <v>792</v>
      </c>
      <c r="D92" s="12" t="s">
        <v>457</v>
      </c>
      <c r="E92" s="12" t="s">
        <v>487</v>
      </c>
      <c r="F92" s="12" t="s">
        <v>794</v>
      </c>
      <c r="G92" s="55">
        <v>3412</v>
      </c>
      <c r="H92" s="55">
        <v>5001</v>
      </c>
      <c r="I92" s="2" t="b">
        <f t="shared" si="2"/>
        <v>1</v>
      </c>
    </row>
    <row r="93" spans="2:9" x14ac:dyDescent="0.25">
      <c r="B93" s="161">
        <v>41554</v>
      </c>
      <c r="C93" s="12" t="s">
        <v>805</v>
      </c>
      <c r="D93" s="12" t="s">
        <v>457</v>
      </c>
      <c r="E93" s="12" t="s">
        <v>806</v>
      </c>
      <c r="F93" s="12" t="s">
        <v>796</v>
      </c>
      <c r="G93" s="55">
        <v>3465</v>
      </c>
      <c r="H93" s="55">
        <v>6299</v>
      </c>
      <c r="I93" s="2" t="b">
        <f t="shared" si="2"/>
        <v>0</v>
      </c>
    </row>
    <row r="94" spans="2:9" x14ac:dyDescent="0.25">
      <c r="B94" s="161">
        <v>41411</v>
      </c>
      <c r="C94" s="12" t="s">
        <v>802</v>
      </c>
      <c r="D94" s="12" t="s">
        <v>457</v>
      </c>
      <c r="E94" s="12" t="s">
        <v>806</v>
      </c>
      <c r="F94" s="12" t="s">
        <v>794</v>
      </c>
      <c r="G94" s="55">
        <v>2764</v>
      </c>
      <c r="H94" s="55">
        <v>4766</v>
      </c>
      <c r="I94" s="2" t="b">
        <f t="shared" si="2"/>
        <v>0</v>
      </c>
    </row>
    <row r="95" spans="2:9" x14ac:dyDescent="0.25">
      <c r="B95" s="161">
        <v>41148</v>
      </c>
      <c r="C95" s="12" t="s">
        <v>802</v>
      </c>
      <c r="D95" s="12" t="s">
        <v>652</v>
      </c>
      <c r="E95" s="12" t="s">
        <v>800</v>
      </c>
      <c r="F95" s="12" t="s">
        <v>799</v>
      </c>
      <c r="G95" s="55">
        <v>4834</v>
      </c>
      <c r="H95" s="55">
        <v>8788</v>
      </c>
      <c r="I95" s="2" t="b">
        <f t="shared" si="2"/>
        <v>0</v>
      </c>
    </row>
    <row r="96" spans="2:9" x14ac:dyDescent="0.25">
      <c r="B96" s="161">
        <v>41019</v>
      </c>
      <c r="C96" s="12" t="s">
        <v>802</v>
      </c>
      <c r="D96" s="12" t="s">
        <v>457</v>
      </c>
      <c r="E96" s="12" t="s">
        <v>803</v>
      </c>
      <c r="F96" s="12" t="s">
        <v>796</v>
      </c>
      <c r="G96" s="55">
        <v>4502</v>
      </c>
      <c r="H96" s="55">
        <v>6003</v>
      </c>
      <c r="I96" s="2" t="b">
        <f t="shared" si="2"/>
        <v>0</v>
      </c>
    </row>
    <row r="97" spans="2:9" x14ac:dyDescent="0.25">
      <c r="B97" s="161">
        <v>41515</v>
      </c>
      <c r="C97" s="12" t="s">
        <v>802</v>
      </c>
      <c r="D97" s="12" t="s">
        <v>801</v>
      </c>
      <c r="E97" s="12" t="s">
        <v>793</v>
      </c>
      <c r="F97" s="12" t="s">
        <v>791</v>
      </c>
      <c r="G97" s="55">
        <v>3730</v>
      </c>
      <c r="H97" s="55">
        <v>4972</v>
      </c>
      <c r="I97" s="2" t="b">
        <f t="shared" si="2"/>
        <v>0</v>
      </c>
    </row>
    <row r="98" spans="2:9" x14ac:dyDescent="0.25">
      <c r="B98" s="161">
        <v>41627</v>
      </c>
      <c r="C98" s="12" t="s">
        <v>792</v>
      </c>
      <c r="D98" s="12" t="s">
        <v>652</v>
      </c>
      <c r="E98" s="12" t="s">
        <v>487</v>
      </c>
      <c r="F98" s="12" t="s">
        <v>799</v>
      </c>
      <c r="G98" s="55">
        <v>5849</v>
      </c>
      <c r="H98" s="55">
        <v>7799</v>
      </c>
      <c r="I98" s="2" t="b">
        <f t="shared" si="2"/>
        <v>0</v>
      </c>
    </row>
    <row r="99" spans="2:9" x14ac:dyDescent="0.25">
      <c r="B99" s="161">
        <v>41151</v>
      </c>
      <c r="C99" s="12" t="s">
        <v>802</v>
      </c>
      <c r="D99" s="12" t="s">
        <v>457</v>
      </c>
      <c r="E99" s="12" t="s">
        <v>800</v>
      </c>
      <c r="F99" s="12" t="s">
        <v>794</v>
      </c>
      <c r="G99" s="55">
        <v>3933</v>
      </c>
      <c r="H99" s="55">
        <v>6780</v>
      </c>
      <c r="I99" s="2" t="b">
        <f t="shared" si="2"/>
        <v>0</v>
      </c>
    </row>
    <row r="100" spans="2:9" x14ac:dyDescent="0.25">
      <c r="B100" s="161">
        <v>41019</v>
      </c>
      <c r="C100" s="12" t="s">
        <v>802</v>
      </c>
      <c r="D100" s="12" t="s">
        <v>801</v>
      </c>
      <c r="E100" s="12" t="s">
        <v>806</v>
      </c>
      <c r="F100" s="12" t="s">
        <v>794</v>
      </c>
      <c r="G100" s="55">
        <v>3971</v>
      </c>
      <c r="H100" s="55">
        <v>9233</v>
      </c>
      <c r="I100" s="2" t="b">
        <f t="shared" si="2"/>
        <v>0</v>
      </c>
    </row>
    <row r="101" spans="2:9" x14ac:dyDescent="0.25">
      <c r="B101" s="161">
        <v>41168</v>
      </c>
      <c r="C101" s="12" t="s">
        <v>805</v>
      </c>
      <c r="D101" s="12" t="s">
        <v>457</v>
      </c>
      <c r="E101" s="12" t="s">
        <v>793</v>
      </c>
      <c r="F101" s="12" t="s">
        <v>796</v>
      </c>
      <c r="G101" s="55">
        <v>1807</v>
      </c>
      <c r="H101" s="55">
        <v>4881</v>
      </c>
      <c r="I101" s="2" t="b">
        <f t="shared" si="2"/>
        <v>0</v>
      </c>
    </row>
    <row r="102" spans="2:9" x14ac:dyDescent="0.25">
      <c r="B102" s="161">
        <v>41294</v>
      </c>
      <c r="C102" s="12" t="s">
        <v>790</v>
      </c>
      <c r="D102" s="12" t="s">
        <v>801</v>
      </c>
      <c r="E102" s="12" t="s">
        <v>804</v>
      </c>
      <c r="F102" s="12" t="s">
        <v>791</v>
      </c>
      <c r="G102" s="55">
        <v>2705</v>
      </c>
      <c r="H102" s="55">
        <v>4666</v>
      </c>
      <c r="I102" s="2" t="b">
        <f t="shared" si="2"/>
        <v>0</v>
      </c>
    </row>
    <row r="103" spans="2:9" x14ac:dyDescent="0.25">
      <c r="B103" s="161">
        <v>41407</v>
      </c>
      <c r="C103" s="12" t="s">
        <v>805</v>
      </c>
      <c r="D103" s="12" t="s">
        <v>797</v>
      </c>
      <c r="E103" s="12" t="s">
        <v>607</v>
      </c>
      <c r="F103" s="12" t="s">
        <v>796</v>
      </c>
      <c r="G103" s="55">
        <v>4432</v>
      </c>
      <c r="H103" s="55">
        <v>7641</v>
      </c>
      <c r="I103" s="2" t="b">
        <f t="shared" si="2"/>
        <v>0</v>
      </c>
    </row>
    <row r="104" spans="2:9" x14ac:dyDescent="0.25">
      <c r="B104" s="161">
        <v>41105</v>
      </c>
      <c r="C104" s="12" t="s">
        <v>792</v>
      </c>
      <c r="D104" s="12" t="s">
        <v>797</v>
      </c>
      <c r="E104" s="12" t="s">
        <v>793</v>
      </c>
      <c r="F104" s="12" t="s">
        <v>794</v>
      </c>
      <c r="G104" s="55">
        <v>1909</v>
      </c>
      <c r="H104" s="55">
        <v>2546</v>
      </c>
      <c r="I104" s="2" t="b">
        <f t="shared" si="2"/>
        <v>0</v>
      </c>
    </row>
    <row r="105" spans="2:9" x14ac:dyDescent="0.25">
      <c r="B105" s="161">
        <v>41184</v>
      </c>
      <c r="C105" s="12" t="s">
        <v>802</v>
      </c>
      <c r="D105" s="12" t="s">
        <v>457</v>
      </c>
      <c r="E105" s="12" t="s">
        <v>800</v>
      </c>
      <c r="F105" s="12" t="s">
        <v>799</v>
      </c>
      <c r="G105" s="55">
        <v>6663</v>
      </c>
      <c r="H105" s="55">
        <v>7126</v>
      </c>
      <c r="I105" s="2" t="b">
        <f t="shared" si="2"/>
        <v>0</v>
      </c>
    </row>
    <row r="106" spans="2:9" x14ac:dyDescent="0.25">
      <c r="B106" s="161">
        <v>41614</v>
      </c>
      <c r="C106" s="12" t="s">
        <v>790</v>
      </c>
      <c r="D106" s="12" t="s">
        <v>801</v>
      </c>
      <c r="E106" s="12" t="s">
        <v>795</v>
      </c>
      <c r="F106" s="12" t="s">
        <v>796</v>
      </c>
      <c r="G106" s="55">
        <v>2227</v>
      </c>
      <c r="H106" s="55">
        <v>2531</v>
      </c>
      <c r="I106" s="2" t="b">
        <f t="shared" si="2"/>
        <v>0</v>
      </c>
    </row>
    <row r="107" spans="2:9" x14ac:dyDescent="0.25">
      <c r="B107" s="161">
        <v>41556</v>
      </c>
      <c r="C107" s="12" t="s">
        <v>805</v>
      </c>
      <c r="D107" s="12" t="s">
        <v>801</v>
      </c>
      <c r="E107" s="12" t="s">
        <v>798</v>
      </c>
      <c r="F107" s="12" t="s">
        <v>796</v>
      </c>
      <c r="G107" s="55">
        <v>5386</v>
      </c>
      <c r="H107" s="55">
        <v>7182</v>
      </c>
      <c r="I107" s="2" t="b">
        <f t="shared" si="2"/>
        <v>0</v>
      </c>
    </row>
    <row r="108" spans="2:9" x14ac:dyDescent="0.25">
      <c r="B108" s="161">
        <v>41094</v>
      </c>
      <c r="C108" s="12" t="s">
        <v>792</v>
      </c>
      <c r="D108" s="12" t="s">
        <v>801</v>
      </c>
      <c r="E108" s="12" t="s">
        <v>804</v>
      </c>
      <c r="F108" s="12" t="s">
        <v>796</v>
      </c>
      <c r="G108" s="55">
        <v>3442</v>
      </c>
      <c r="H108" s="55">
        <v>5835</v>
      </c>
      <c r="I108" s="2" t="b">
        <f t="shared" si="2"/>
        <v>0</v>
      </c>
    </row>
    <row r="109" spans="2:9" x14ac:dyDescent="0.25">
      <c r="B109" s="161">
        <v>41195</v>
      </c>
      <c r="C109" s="12" t="s">
        <v>792</v>
      </c>
      <c r="D109" s="12" t="s">
        <v>801</v>
      </c>
      <c r="E109" s="12" t="s">
        <v>806</v>
      </c>
      <c r="F109" s="12" t="s">
        <v>791</v>
      </c>
      <c r="G109" s="55">
        <v>2395</v>
      </c>
      <c r="H109" s="55">
        <v>6474</v>
      </c>
      <c r="I109" s="2" t="b">
        <f t="shared" si="2"/>
        <v>0</v>
      </c>
    </row>
    <row r="110" spans="2:9" x14ac:dyDescent="0.25">
      <c r="B110" s="161">
        <v>41275</v>
      </c>
      <c r="C110" s="12" t="s">
        <v>790</v>
      </c>
      <c r="D110" s="12" t="s">
        <v>652</v>
      </c>
      <c r="E110" s="12" t="s">
        <v>800</v>
      </c>
      <c r="F110" s="12" t="s">
        <v>791</v>
      </c>
      <c r="G110" s="55">
        <v>1252</v>
      </c>
      <c r="H110" s="55">
        <v>2122</v>
      </c>
      <c r="I110" s="2" t="b">
        <f t="shared" si="2"/>
        <v>0</v>
      </c>
    </row>
    <row r="111" spans="2:9" x14ac:dyDescent="0.25">
      <c r="B111" s="161">
        <v>41149</v>
      </c>
      <c r="C111" s="12" t="s">
        <v>790</v>
      </c>
      <c r="D111" s="12" t="s">
        <v>652</v>
      </c>
      <c r="E111" s="12" t="s">
        <v>808</v>
      </c>
      <c r="F111" s="12" t="s">
        <v>791</v>
      </c>
      <c r="G111" s="55">
        <v>5350</v>
      </c>
      <c r="H111" s="55">
        <v>7868</v>
      </c>
      <c r="I111" s="2" t="b">
        <f t="shared" si="2"/>
        <v>0</v>
      </c>
    </row>
    <row r="112" spans="2:9" x14ac:dyDescent="0.25">
      <c r="B112" s="161">
        <v>41513</v>
      </c>
      <c r="C112" s="12" t="s">
        <v>792</v>
      </c>
      <c r="D112" s="12" t="s">
        <v>801</v>
      </c>
      <c r="E112" s="12" t="s">
        <v>800</v>
      </c>
      <c r="F112" s="12" t="s">
        <v>794</v>
      </c>
      <c r="G112" s="55">
        <v>5843</v>
      </c>
      <c r="H112" s="55">
        <v>6250</v>
      </c>
      <c r="I112" s="2" t="b">
        <f t="shared" si="2"/>
        <v>0</v>
      </c>
    </row>
    <row r="113" spans="2:9" x14ac:dyDescent="0.25">
      <c r="B113" s="161">
        <v>41146</v>
      </c>
      <c r="C113" s="12" t="s">
        <v>790</v>
      </c>
      <c r="D113" s="12" t="s">
        <v>652</v>
      </c>
      <c r="E113" s="12" t="s">
        <v>808</v>
      </c>
      <c r="F113" s="12" t="s">
        <v>799</v>
      </c>
      <c r="G113" s="55">
        <v>2050</v>
      </c>
      <c r="H113" s="55">
        <v>3536</v>
      </c>
      <c r="I113" s="2" t="b">
        <f t="shared" si="2"/>
        <v>0</v>
      </c>
    </row>
    <row r="114" spans="2:9" x14ac:dyDescent="0.25">
      <c r="B114" s="161">
        <v>41017</v>
      </c>
      <c r="C114" s="12" t="s">
        <v>805</v>
      </c>
      <c r="D114" s="12" t="s">
        <v>797</v>
      </c>
      <c r="E114" s="12" t="s">
        <v>793</v>
      </c>
      <c r="F114" s="12" t="s">
        <v>794</v>
      </c>
      <c r="G114" s="55">
        <v>46</v>
      </c>
      <c r="H114" s="55">
        <v>82</v>
      </c>
      <c r="I114" s="2" t="b">
        <f t="shared" si="2"/>
        <v>0</v>
      </c>
    </row>
    <row r="115" spans="2:9" x14ac:dyDescent="0.25">
      <c r="B115" s="161">
        <v>41130</v>
      </c>
      <c r="C115" s="12" t="s">
        <v>802</v>
      </c>
      <c r="D115" s="12" t="s">
        <v>797</v>
      </c>
      <c r="E115" s="12" t="s">
        <v>803</v>
      </c>
      <c r="F115" s="12" t="s">
        <v>791</v>
      </c>
      <c r="G115" s="55">
        <v>1372</v>
      </c>
      <c r="H115" s="55">
        <v>2493</v>
      </c>
      <c r="I115" s="2" t="b">
        <f t="shared" si="2"/>
        <v>0</v>
      </c>
    </row>
    <row r="116" spans="2:9" x14ac:dyDescent="0.25">
      <c r="B116" s="161">
        <v>41285</v>
      </c>
      <c r="C116" s="12" t="s">
        <v>790</v>
      </c>
      <c r="D116" s="12" t="s">
        <v>801</v>
      </c>
      <c r="E116" s="12" t="s">
        <v>487</v>
      </c>
      <c r="F116" s="12" t="s">
        <v>794</v>
      </c>
      <c r="G116" s="55">
        <v>3251</v>
      </c>
      <c r="H116" s="55">
        <v>3475</v>
      </c>
      <c r="I116" s="2" t="b">
        <f t="shared" si="2"/>
        <v>0</v>
      </c>
    </row>
    <row r="117" spans="2:9" x14ac:dyDescent="0.25">
      <c r="B117" s="161">
        <v>41516</v>
      </c>
      <c r="C117" s="12" t="s">
        <v>805</v>
      </c>
      <c r="D117" s="12" t="s">
        <v>457</v>
      </c>
      <c r="E117" s="12" t="s">
        <v>804</v>
      </c>
      <c r="F117" s="12" t="s">
        <v>791</v>
      </c>
      <c r="G117" s="55">
        <v>4483</v>
      </c>
      <c r="H117" s="55">
        <v>6593</v>
      </c>
      <c r="I117" s="2" t="b">
        <f t="shared" si="2"/>
        <v>0</v>
      </c>
    </row>
    <row r="118" spans="2:9" x14ac:dyDescent="0.25">
      <c r="B118" s="161">
        <v>41435</v>
      </c>
      <c r="C118" s="12" t="s">
        <v>792</v>
      </c>
      <c r="D118" s="12" t="s">
        <v>797</v>
      </c>
      <c r="E118" s="12" t="s">
        <v>804</v>
      </c>
      <c r="F118" s="12" t="s">
        <v>799</v>
      </c>
      <c r="G118" s="55">
        <v>5332</v>
      </c>
      <c r="H118" s="55">
        <v>5703</v>
      </c>
      <c r="I118" s="2" t="b">
        <f t="shared" si="2"/>
        <v>0</v>
      </c>
    </row>
    <row r="119" spans="2:9" x14ac:dyDescent="0.25">
      <c r="B119" s="161">
        <v>41490</v>
      </c>
      <c r="C119" s="12" t="s">
        <v>805</v>
      </c>
      <c r="D119" s="12" t="s">
        <v>797</v>
      </c>
      <c r="E119" s="12" t="s">
        <v>804</v>
      </c>
      <c r="F119" s="12" t="s">
        <v>791</v>
      </c>
      <c r="G119" s="55">
        <v>2882</v>
      </c>
      <c r="H119" s="55">
        <v>6702</v>
      </c>
      <c r="I119" s="2" t="b">
        <f t="shared" si="2"/>
        <v>0</v>
      </c>
    </row>
    <row r="120" spans="2:9" x14ac:dyDescent="0.25">
      <c r="B120" s="161">
        <v>41407</v>
      </c>
      <c r="C120" s="12" t="s">
        <v>792</v>
      </c>
      <c r="D120" s="12" t="s">
        <v>652</v>
      </c>
      <c r="E120" s="12" t="s">
        <v>804</v>
      </c>
      <c r="F120" s="12" t="s">
        <v>794</v>
      </c>
      <c r="G120" s="55">
        <v>2666</v>
      </c>
      <c r="H120" s="55">
        <v>7206</v>
      </c>
      <c r="I120" s="2" t="b">
        <f t="shared" si="2"/>
        <v>0</v>
      </c>
    </row>
    <row r="121" spans="2:9" x14ac:dyDescent="0.25">
      <c r="B121" s="161">
        <v>41283</v>
      </c>
      <c r="C121" s="12" t="s">
        <v>790</v>
      </c>
      <c r="D121" s="12" t="s">
        <v>457</v>
      </c>
      <c r="E121" s="12" t="s">
        <v>803</v>
      </c>
      <c r="F121" s="12" t="s">
        <v>794</v>
      </c>
      <c r="G121" s="55">
        <v>726</v>
      </c>
      <c r="H121" s="55">
        <v>1230</v>
      </c>
      <c r="I121" s="2" t="b">
        <f t="shared" si="2"/>
        <v>0</v>
      </c>
    </row>
    <row r="122" spans="2:9" x14ac:dyDescent="0.25">
      <c r="B122" s="161">
        <v>41504</v>
      </c>
      <c r="C122" s="12" t="s">
        <v>790</v>
      </c>
      <c r="D122" s="12" t="s">
        <v>801</v>
      </c>
      <c r="E122" s="12" t="s">
        <v>806</v>
      </c>
      <c r="F122" s="12" t="s">
        <v>791</v>
      </c>
      <c r="G122" s="55">
        <v>2422</v>
      </c>
      <c r="H122" s="55">
        <v>6543</v>
      </c>
      <c r="I122" s="2" t="b">
        <f t="shared" si="2"/>
        <v>0</v>
      </c>
    </row>
    <row r="123" spans="2:9" x14ac:dyDescent="0.25">
      <c r="B123" s="161">
        <v>41131</v>
      </c>
      <c r="C123" s="12" t="s">
        <v>790</v>
      </c>
      <c r="D123" s="12" t="s">
        <v>797</v>
      </c>
      <c r="E123" s="12" t="s">
        <v>607</v>
      </c>
      <c r="F123" s="12" t="s">
        <v>791</v>
      </c>
      <c r="G123" s="55">
        <v>235</v>
      </c>
      <c r="H123" s="55">
        <v>267</v>
      </c>
      <c r="I123" s="2" t="b">
        <f t="shared" si="2"/>
        <v>0</v>
      </c>
    </row>
    <row r="124" spans="2:9" x14ac:dyDescent="0.25">
      <c r="B124" s="161">
        <v>40954</v>
      </c>
      <c r="C124" s="12" t="s">
        <v>792</v>
      </c>
      <c r="D124" s="12" t="s">
        <v>652</v>
      </c>
      <c r="E124" s="12" t="s">
        <v>607</v>
      </c>
      <c r="F124" s="12" t="s">
        <v>791</v>
      </c>
      <c r="G124" s="55">
        <v>60</v>
      </c>
      <c r="H124" s="55">
        <v>160</v>
      </c>
      <c r="I124" s="2" t="b">
        <f t="shared" si="2"/>
        <v>0</v>
      </c>
    </row>
    <row r="125" spans="2:9" x14ac:dyDescent="0.25">
      <c r="B125" s="161">
        <v>41628</v>
      </c>
      <c r="C125" s="12" t="s">
        <v>802</v>
      </c>
      <c r="D125" s="12" t="s">
        <v>457</v>
      </c>
      <c r="E125" s="12" t="s">
        <v>607</v>
      </c>
      <c r="F125" s="12" t="s">
        <v>796</v>
      </c>
      <c r="G125" s="55">
        <v>5878</v>
      </c>
      <c r="H125" s="55">
        <v>9961</v>
      </c>
      <c r="I125" s="2" t="b">
        <f t="shared" si="2"/>
        <v>0</v>
      </c>
    </row>
    <row r="126" spans="2:9" x14ac:dyDescent="0.25">
      <c r="B126" s="161">
        <v>41092</v>
      </c>
      <c r="C126" s="12" t="s">
        <v>802</v>
      </c>
      <c r="D126" s="12" t="s">
        <v>652</v>
      </c>
      <c r="E126" s="12" t="s">
        <v>806</v>
      </c>
      <c r="F126" s="12" t="s">
        <v>799</v>
      </c>
      <c r="G126" s="55">
        <v>836</v>
      </c>
      <c r="H126" s="55">
        <v>1520</v>
      </c>
      <c r="I126" s="2" t="b">
        <f t="shared" si="2"/>
        <v>0</v>
      </c>
    </row>
    <row r="127" spans="2:9" x14ac:dyDescent="0.25">
      <c r="B127" s="161">
        <v>41336</v>
      </c>
      <c r="C127" s="12" t="s">
        <v>792</v>
      </c>
      <c r="D127" s="12" t="s">
        <v>797</v>
      </c>
      <c r="E127" s="12" t="s">
        <v>806</v>
      </c>
      <c r="F127" s="12" t="s">
        <v>794</v>
      </c>
      <c r="G127" s="55">
        <v>426</v>
      </c>
      <c r="H127" s="55">
        <v>992</v>
      </c>
      <c r="I127" s="2" t="b">
        <f t="shared" si="2"/>
        <v>0</v>
      </c>
    </row>
    <row r="128" spans="2:9" x14ac:dyDescent="0.25">
      <c r="B128" s="161">
        <v>41308</v>
      </c>
      <c r="C128" s="12" t="s">
        <v>792</v>
      </c>
      <c r="D128" s="12" t="s">
        <v>797</v>
      </c>
      <c r="E128" s="12" t="s">
        <v>807</v>
      </c>
      <c r="F128" s="12" t="s">
        <v>799</v>
      </c>
      <c r="G128" s="55">
        <v>5164</v>
      </c>
      <c r="H128" s="55">
        <v>5523</v>
      </c>
      <c r="I128" s="2" t="b">
        <f t="shared" si="2"/>
        <v>0</v>
      </c>
    </row>
    <row r="129" spans="2:9" x14ac:dyDescent="0.25">
      <c r="B129" s="161">
        <v>41599</v>
      </c>
      <c r="C129" s="12" t="s">
        <v>802</v>
      </c>
      <c r="D129" s="12" t="s">
        <v>652</v>
      </c>
      <c r="E129" s="12" t="s">
        <v>795</v>
      </c>
      <c r="F129" s="12" t="s">
        <v>791</v>
      </c>
      <c r="G129" s="55">
        <v>1770</v>
      </c>
      <c r="H129" s="55">
        <v>3050</v>
      </c>
      <c r="I129" s="2" t="b">
        <f t="shared" si="2"/>
        <v>0</v>
      </c>
    </row>
    <row r="130" spans="2:9" x14ac:dyDescent="0.25">
      <c r="B130" s="161">
        <v>41575</v>
      </c>
      <c r="C130" s="12" t="s">
        <v>802</v>
      </c>
      <c r="D130" s="12" t="s">
        <v>801</v>
      </c>
      <c r="E130" s="12" t="s">
        <v>800</v>
      </c>
      <c r="F130" s="12" t="s">
        <v>791</v>
      </c>
      <c r="G130" s="55">
        <v>2714</v>
      </c>
      <c r="H130" s="55">
        <v>4601</v>
      </c>
      <c r="I130" s="2" t="b">
        <f t="shared" si="2"/>
        <v>0</v>
      </c>
    </row>
    <row r="131" spans="2:9" x14ac:dyDescent="0.25">
      <c r="B131" s="161">
        <v>40969</v>
      </c>
      <c r="C131" s="12" t="s">
        <v>790</v>
      </c>
      <c r="D131" s="12" t="s">
        <v>797</v>
      </c>
      <c r="E131" s="12" t="s">
        <v>804</v>
      </c>
      <c r="F131" s="12" t="s">
        <v>794</v>
      </c>
      <c r="G131" s="55">
        <v>1886</v>
      </c>
      <c r="H131" s="55">
        <v>4190</v>
      </c>
      <c r="I131" s="2" t="b">
        <f t="shared" si="2"/>
        <v>0</v>
      </c>
    </row>
    <row r="132" spans="2:9" x14ac:dyDescent="0.25">
      <c r="B132" s="161">
        <v>41252</v>
      </c>
      <c r="C132" s="12" t="s">
        <v>802</v>
      </c>
      <c r="D132" s="12" t="s">
        <v>797</v>
      </c>
      <c r="E132" s="12" t="s">
        <v>809</v>
      </c>
      <c r="F132" s="12" t="s">
        <v>794</v>
      </c>
      <c r="G132" s="55">
        <v>1480</v>
      </c>
      <c r="H132" s="55">
        <v>3287</v>
      </c>
      <c r="I132" s="2" t="b">
        <f t="shared" si="2"/>
        <v>0</v>
      </c>
    </row>
    <row r="133" spans="2:9" x14ac:dyDescent="0.25">
      <c r="B133" s="161">
        <v>41047</v>
      </c>
      <c r="C133" s="12" t="s">
        <v>802</v>
      </c>
      <c r="D133" s="12" t="s">
        <v>801</v>
      </c>
      <c r="E133" s="12" t="s">
        <v>804</v>
      </c>
      <c r="F133" s="12" t="s">
        <v>796</v>
      </c>
      <c r="G133" s="55">
        <v>3796</v>
      </c>
      <c r="H133" s="55">
        <v>6433</v>
      </c>
      <c r="I133" s="2" t="b">
        <f t="shared" si="2"/>
        <v>0</v>
      </c>
    </row>
    <row r="134" spans="2:9" x14ac:dyDescent="0.25">
      <c r="B134" s="161">
        <v>41315</v>
      </c>
      <c r="C134" s="12" t="s">
        <v>792</v>
      </c>
      <c r="D134" s="12" t="s">
        <v>457</v>
      </c>
      <c r="E134" s="12" t="s">
        <v>795</v>
      </c>
      <c r="F134" s="12" t="s">
        <v>791</v>
      </c>
      <c r="G134" s="55">
        <v>3806</v>
      </c>
      <c r="H134" s="55">
        <v>8853</v>
      </c>
      <c r="I134" s="2" t="b">
        <f t="shared" si="2"/>
        <v>0</v>
      </c>
    </row>
    <row r="135" spans="2:9" x14ac:dyDescent="0.25">
      <c r="B135" s="161">
        <v>40969</v>
      </c>
      <c r="C135" s="12" t="s">
        <v>805</v>
      </c>
      <c r="D135" s="12" t="s">
        <v>652</v>
      </c>
      <c r="E135" s="12" t="s">
        <v>806</v>
      </c>
      <c r="F135" s="12" t="s">
        <v>791</v>
      </c>
      <c r="G135" s="55">
        <v>2743</v>
      </c>
      <c r="H135" s="55">
        <v>6094</v>
      </c>
      <c r="I135" s="2" t="b">
        <f t="shared" ref="I135:I198" si="3">AND($K$9=C135,$L$9=D135,$M$9=F135)</f>
        <v>0</v>
      </c>
    </row>
    <row r="136" spans="2:9" x14ac:dyDescent="0.25">
      <c r="B136" s="161">
        <v>41100</v>
      </c>
      <c r="C136" s="12" t="s">
        <v>802</v>
      </c>
      <c r="D136" s="12" t="s">
        <v>797</v>
      </c>
      <c r="E136" s="12" t="s">
        <v>487</v>
      </c>
      <c r="F136" s="12" t="s">
        <v>799</v>
      </c>
      <c r="G136" s="55">
        <v>1905</v>
      </c>
      <c r="H136" s="55">
        <v>3229</v>
      </c>
      <c r="I136" s="2" t="b">
        <f t="shared" si="3"/>
        <v>0</v>
      </c>
    </row>
    <row r="137" spans="2:9" x14ac:dyDescent="0.25">
      <c r="B137" s="161">
        <v>40929</v>
      </c>
      <c r="C137" s="12" t="s">
        <v>792</v>
      </c>
      <c r="D137" s="12" t="s">
        <v>797</v>
      </c>
      <c r="E137" s="12" t="s">
        <v>807</v>
      </c>
      <c r="F137" s="12" t="s">
        <v>791</v>
      </c>
      <c r="G137" s="55">
        <v>8617</v>
      </c>
      <c r="H137" s="55">
        <v>9791</v>
      </c>
      <c r="I137" s="2" t="b">
        <f t="shared" si="3"/>
        <v>0</v>
      </c>
    </row>
    <row r="138" spans="2:9" x14ac:dyDescent="0.25">
      <c r="B138" s="161">
        <v>41047</v>
      </c>
      <c r="C138" s="12" t="s">
        <v>805</v>
      </c>
      <c r="D138" s="12" t="s">
        <v>797</v>
      </c>
      <c r="E138" s="12" t="s">
        <v>800</v>
      </c>
      <c r="F138" s="12" t="s">
        <v>799</v>
      </c>
      <c r="G138" s="55">
        <v>2443</v>
      </c>
      <c r="H138" s="55">
        <v>6601</v>
      </c>
      <c r="I138" s="2" t="b">
        <f t="shared" si="3"/>
        <v>0</v>
      </c>
    </row>
    <row r="139" spans="2:9" x14ac:dyDescent="0.25">
      <c r="B139" s="161">
        <v>41456</v>
      </c>
      <c r="C139" s="12" t="s">
        <v>802</v>
      </c>
      <c r="D139" s="12" t="s">
        <v>801</v>
      </c>
      <c r="E139" s="12" t="s">
        <v>803</v>
      </c>
      <c r="F139" s="12" t="s">
        <v>794</v>
      </c>
      <c r="G139" s="55">
        <v>5414</v>
      </c>
      <c r="H139" s="55">
        <v>7961</v>
      </c>
      <c r="I139" s="2" t="b">
        <f t="shared" si="3"/>
        <v>0</v>
      </c>
    </row>
    <row r="140" spans="2:9" x14ac:dyDescent="0.25">
      <c r="B140" s="161">
        <v>41413</v>
      </c>
      <c r="C140" s="12" t="s">
        <v>792</v>
      </c>
      <c r="D140" s="12" t="s">
        <v>797</v>
      </c>
      <c r="E140" s="12" t="s">
        <v>800</v>
      </c>
      <c r="F140" s="12" t="s">
        <v>799</v>
      </c>
      <c r="G140" s="55">
        <v>1320</v>
      </c>
      <c r="H140" s="55">
        <v>2401</v>
      </c>
      <c r="I140" s="2" t="b">
        <f t="shared" si="3"/>
        <v>0</v>
      </c>
    </row>
    <row r="141" spans="2:9" x14ac:dyDescent="0.25">
      <c r="B141" s="161">
        <v>40999</v>
      </c>
      <c r="C141" s="12" t="s">
        <v>802</v>
      </c>
      <c r="D141" s="12" t="s">
        <v>801</v>
      </c>
      <c r="E141" s="12" t="s">
        <v>807</v>
      </c>
      <c r="F141" s="12" t="s">
        <v>791</v>
      </c>
      <c r="G141" s="55">
        <v>2944</v>
      </c>
      <c r="H141" s="55">
        <v>4991</v>
      </c>
      <c r="I141" s="2" t="b">
        <f t="shared" si="3"/>
        <v>0</v>
      </c>
    </row>
    <row r="142" spans="2:9" x14ac:dyDescent="0.25">
      <c r="B142" s="161">
        <v>41547</v>
      </c>
      <c r="C142" s="12" t="s">
        <v>790</v>
      </c>
      <c r="D142" s="12" t="s">
        <v>801</v>
      </c>
      <c r="E142" s="12" t="s">
        <v>809</v>
      </c>
      <c r="F142" s="12" t="s">
        <v>791</v>
      </c>
      <c r="G142" s="55">
        <v>612</v>
      </c>
      <c r="H142" s="55">
        <v>899</v>
      </c>
      <c r="I142" s="2" t="b">
        <f t="shared" si="3"/>
        <v>0</v>
      </c>
    </row>
    <row r="143" spans="2:9" x14ac:dyDescent="0.25">
      <c r="B143" s="161">
        <v>41029</v>
      </c>
      <c r="C143" s="12" t="s">
        <v>805</v>
      </c>
      <c r="D143" s="12" t="s">
        <v>652</v>
      </c>
      <c r="E143" s="12" t="s">
        <v>809</v>
      </c>
      <c r="F143" s="12" t="s">
        <v>799</v>
      </c>
      <c r="G143" s="55">
        <v>2403</v>
      </c>
      <c r="H143" s="55">
        <v>6491</v>
      </c>
      <c r="I143" s="2" t="b">
        <f t="shared" si="3"/>
        <v>0</v>
      </c>
    </row>
    <row r="144" spans="2:9" x14ac:dyDescent="0.25">
      <c r="B144" s="161">
        <v>41102</v>
      </c>
      <c r="C144" s="12" t="s">
        <v>802</v>
      </c>
      <c r="D144" s="12" t="s">
        <v>801</v>
      </c>
      <c r="E144" s="12" t="s">
        <v>607</v>
      </c>
      <c r="F144" s="12" t="s">
        <v>796</v>
      </c>
      <c r="G144" s="55">
        <v>2881</v>
      </c>
      <c r="H144" s="55">
        <v>3275</v>
      </c>
      <c r="I144" s="2" t="b">
        <f t="shared" si="3"/>
        <v>0</v>
      </c>
    </row>
    <row r="145" spans="2:9" x14ac:dyDescent="0.25">
      <c r="B145" s="161">
        <v>41031</v>
      </c>
      <c r="C145" s="12" t="s">
        <v>790</v>
      </c>
      <c r="D145" s="12" t="s">
        <v>797</v>
      </c>
      <c r="E145" s="12" t="s">
        <v>808</v>
      </c>
      <c r="F145" s="12" t="s">
        <v>794</v>
      </c>
      <c r="G145" s="55">
        <v>1775</v>
      </c>
      <c r="H145" s="55">
        <v>4799</v>
      </c>
      <c r="I145" s="2" t="b">
        <f t="shared" si="3"/>
        <v>0</v>
      </c>
    </row>
    <row r="146" spans="2:9" x14ac:dyDescent="0.25">
      <c r="B146" s="161">
        <v>41217</v>
      </c>
      <c r="C146" s="12" t="s">
        <v>805</v>
      </c>
      <c r="D146" s="12" t="s">
        <v>797</v>
      </c>
      <c r="E146" s="12" t="s">
        <v>804</v>
      </c>
      <c r="F146" s="12" t="s">
        <v>794</v>
      </c>
      <c r="G146" s="55">
        <v>2880</v>
      </c>
      <c r="H146" s="55">
        <v>6398</v>
      </c>
      <c r="I146" s="2" t="b">
        <f t="shared" si="3"/>
        <v>0</v>
      </c>
    </row>
    <row r="147" spans="2:9" x14ac:dyDescent="0.25">
      <c r="B147" s="161">
        <v>41311</v>
      </c>
      <c r="C147" s="12" t="s">
        <v>790</v>
      </c>
      <c r="D147" s="12" t="s">
        <v>457</v>
      </c>
      <c r="E147" s="12" t="s">
        <v>807</v>
      </c>
      <c r="F147" s="12" t="s">
        <v>796</v>
      </c>
      <c r="G147" s="55">
        <v>1297</v>
      </c>
      <c r="H147" s="55">
        <v>2236</v>
      </c>
      <c r="I147" s="2" t="b">
        <f t="shared" si="3"/>
        <v>0</v>
      </c>
    </row>
    <row r="148" spans="2:9" x14ac:dyDescent="0.25">
      <c r="B148" s="161">
        <v>41549</v>
      </c>
      <c r="C148" s="12" t="s">
        <v>805</v>
      </c>
      <c r="D148" s="12" t="s">
        <v>801</v>
      </c>
      <c r="E148" s="12" t="s">
        <v>807</v>
      </c>
      <c r="F148" s="12" t="s">
        <v>794</v>
      </c>
      <c r="G148" s="55">
        <v>169</v>
      </c>
      <c r="H148" s="55">
        <v>392</v>
      </c>
      <c r="I148" s="2" t="b">
        <f t="shared" si="3"/>
        <v>0</v>
      </c>
    </row>
    <row r="149" spans="2:9" x14ac:dyDescent="0.25">
      <c r="B149" s="161">
        <v>41536</v>
      </c>
      <c r="C149" s="12" t="s">
        <v>792</v>
      </c>
      <c r="D149" s="12" t="s">
        <v>797</v>
      </c>
      <c r="E149" s="12" t="s">
        <v>607</v>
      </c>
      <c r="F149" s="12" t="s">
        <v>791</v>
      </c>
      <c r="G149" s="55">
        <v>1622</v>
      </c>
      <c r="H149" s="55">
        <v>4385</v>
      </c>
      <c r="I149" s="2" t="b">
        <f t="shared" si="3"/>
        <v>0</v>
      </c>
    </row>
    <row r="150" spans="2:9" x14ac:dyDescent="0.25">
      <c r="B150" s="161">
        <v>41056</v>
      </c>
      <c r="C150" s="12" t="s">
        <v>790</v>
      </c>
      <c r="D150" s="12" t="s">
        <v>652</v>
      </c>
      <c r="E150" s="12" t="s">
        <v>607</v>
      </c>
      <c r="F150" s="12" t="s">
        <v>799</v>
      </c>
      <c r="G150" s="55">
        <v>2116</v>
      </c>
      <c r="H150" s="55">
        <v>4922</v>
      </c>
      <c r="I150" s="2" t="b">
        <f t="shared" si="3"/>
        <v>0</v>
      </c>
    </row>
    <row r="151" spans="2:9" x14ac:dyDescent="0.25">
      <c r="B151" s="161">
        <v>41624</v>
      </c>
      <c r="C151" s="12" t="s">
        <v>802</v>
      </c>
      <c r="D151" s="12" t="s">
        <v>457</v>
      </c>
      <c r="E151" s="12" t="s">
        <v>798</v>
      </c>
      <c r="F151" s="12" t="s">
        <v>794</v>
      </c>
      <c r="G151" s="55">
        <v>3978</v>
      </c>
      <c r="H151" s="55">
        <v>6860</v>
      </c>
      <c r="I151" s="2" t="b">
        <f t="shared" si="3"/>
        <v>0</v>
      </c>
    </row>
    <row r="152" spans="2:9" x14ac:dyDescent="0.25">
      <c r="B152" s="161">
        <v>41412</v>
      </c>
      <c r="C152" s="12" t="s">
        <v>805</v>
      </c>
      <c r="D152" s="12" t="s">
        <v>797</v>
      </c>
      <c r="E152" s="12" t="s">
        <v>607</v>
      </c>
      <c r="F152" s="12" t="s">
        <v>791</v>
      </c>
      <c r="G152" s="55">
        <v>4248</v>
      </c>
      <c r="H152" s="55">
        <v>4542</v>
      </c>
      <c r="I152" s="2" t="b">
        <f t="shared" si="3"/>
        <v>0</v>
      </c>
    </row>
    <row r="153" spans="2:9" x14ac:dyDescent="0.25">
      <c r="B153" s="161">
        <v>41347</v>
      </c>
      <c r="C153" s="12" t="s">
        <v>802</v>
      </c>
      <c r="D153" s="12" t="s">
        <v>801</v>
      </c>
      <c r="E153" s="12" t="s">
        <v>800</v>
      </c>
      <c r="F153" s="12" t="s">
        <v>794</v>
      </c>
      <c r="G153" s="55">
        <v>4846</v>
      </c>
      <c r="H153" s="55">
        <v>5507</v>
      </c>
      <c r="I153" s="2" t="b">
        <f t="shared" si="3"/>
        <v>0</v>
      </c>
    </row>
    <row r="154" spans="2:9" x14ac:dyDescent="0.25">
      <c r="B154" s="161">
        <v>40989</v>
      </c>
      <c r="C154" s="12" t="s">
        <v>805</v>
      </c>
      <c r="D154" s="12" t="s">
        <v>801</v>
      </c>
      <c r="E154" s="12" t="s">
        <v>806</v>
      </c>
      <c r="F154" s="12" t="s">
        <v>791</v>
      </c>
      <c r="G154" s="55">
        <v>2466</v>
      </c>
      <c r="H154" s="55">
        <v>4483</v>
      </c>
      <c r="I154" s="2" t="b">
        <f t="shared" si="3"/>
        <v>0</v>
      </c>
    </row>
    <row r="155" spans="2:9" x14ac:dyDescent="0.25">
      <c r="B155" s="161">
        <v>40943</v>
      </c>
      <c r="C155" s="12" t="s">
        <v>802</v>
      </c>
      <c r="D155" s="12" t="s">
        <v>801</v>
      </c>
      <c r="E155" s="12" t="s">
        <v>607</v>
      </c>
      <c r="F155" s="12" t="s">
        <v>791</v>
      </c>
      <c r="G155" s="55">
        <v>1144</v>
      </c>
      <c r="H155" s="55">
        <v>2658</v>
      </c>
      <c r="I155" s="2" t="b">
        <f t="shared" si="3"/>
        <v>0</v>
      </c>
    </row>
    <row r="156" spans="2:9" x14ac:dyDescent="0.25">
      <c r="B156" s="161">
        <v>41083</v>
      </c>
      <c r="C156" s="12" t="s">
        <v>792</v>
      </c>
      <c r="D156" s="12" t="s">
        <v>652</v>
      </c>
      <c r="E156" s="12" t="s">
        <v>808</v>
      </c>
      <c r="F156" s="12" t="s">
        <v>796</v>
      </c>
      <c r="G156" s="55">
        <v>1709</v>
      </c>
      <c r="H156" s="55">
        <v>4616</v>
      </c>
      <c r="I156" s="2" t="b">
        <f t="shared" si="3"/>
        <v>0</v>
      </c>
    </row>
    <row r="157" spans="2:9" x14ac:dyDescent="0.25">
      <c r="B157" s="161">
        <v>41553</v>
      </c>
      <c r="C157" s="12" t="s">
        <v>805</v>
      </c>
      <c r="D157" s="12" t="s">
        <v>801</v>
      </c>
      <c r="E157" s="12" t="s">
        <v>804</v>
      </c>
      <c r="F157" s="12" t="s">
        <v>796</v>
      </c>
      <c r="G157" s="55">
        <v>3672</v>
      </c>
      <c r="H157" s="55">
        <v>6330</v>
      </c>
      <c r="I157" s="2" t="b">
        <f t="shared" si="3"/>
        <v>0</v>
      </c>
    </row>
    <row r="158" spans="2:9" x14ac:dyDescent="0.25">
      <c r="B158" s="161">
        <v>41364</v>
      </c>
      <c r="C158" s="12" t="s">
        <v>802</v>
      </c>
      <c r="D158" s="12" t="s">
        <v>457</v>
      </c>
      <c r="E158" s="12" t="s">
        <v>806</v>
      </c>
      <c r="F158" s="12" t="s">
        <v>799</v>
      </c>
      <c r="G158" s="55">
        <v>893</v>
      </c>
      <c r="H158" s="55">
        <v>1313</v>
      </c>
      <c r="I158" s="2" t="b">
        <f t="shared" si="3"/>
        <v>0</v>
      </c>
    </row>
    <row r="159" spans="2:9" x14ac:dyDescent="0.25">
      <c r="B159" s="161">
        <v>41059</v>
      </c>
      <c r="C159" s="12" t="s">
        <v>802</v>
      </c>
      <c r="D159" s="12" t="s">
        <v>797</v>
      </c>
      <c r="E159" s="12" t="s">
        <v>793</v>
      </c>
      <c r="F159" s="12" t="s">
        <v>791</v>
      </c>
      <c r="G159" s="55">
        <v>5224</v>
      </c>
      <c r="H159" s="55">
        <v>5588</v>
      </c>
      <c r="I159" s="2" t="b">
        <f t="shared" si="3"/>
        <v>0</v>
      </c>
    </row>
    <row r="160" spans="2:9" x14ac:dyDescent="0.25">
      <c r="B160" s="161">
        <v>41099</v>
      </c>
      <c r="C160" s="12" t="s">
        <v>792</v>
      </c>
      <c r="D160" s="12" t="s">
        <v>797</v>
      </c>
      <c r="E160" s="12" t="s">
        <v>795</v>
      </c>
      <c r="F160" s="12" t="s">
        <v>791</v>
      </c>
      <c r="G160" s="55">
        <v>3731</v>
      </c>
      <c r="H160" s="55">
        <v>3990</v>
      </c>
      <c r="I160" s="2" t="b">
        <f t="shared" si="3"/>
        <v>0</v>
      </c>
    </row>
    <row r="161" spans="2:9" x14ac:dyDescent="0.25">
      <c r="B161" s="161">
        <v>41444</v>
      </c>
      <c r="C161" s="12" t="s">
        <v>792</v>
      </c>
      <c r="D161" s="12" t="s">
        <v>801</v>
      </c>
      <c r="E161" s="12" t="s">
        <v>487</v>
      </c>
      <c r="F161" s="12" t="s">
        <v>799</v>
      </c>
      <c r="G161" s="55">
        <v>3282</v>
      </c>
      <c r="H161" s="55">
        <v>3730</v>
      </c>
      <c r="I161" s="2" t="b">
        <f t="shared" si="3"/>
        <v>0</v>
      </c>
    </row>
    <row r="162" spans="2:9" x14ac:dyDescent="0.25">
      <c r="B162" s="161">
        <v>41620</v>
      </c>
      <c r="C162" s="12" t="s">
        <v>792</v>
      </c>
      <c r="D162" s="12" t="s">
        <v>457</v>
      </c>
      <c r="E162" s="12" t="s">
        <v>793</v>
      </c>
      <c r="F162" s="12" t="s">
        <v>794</v>
      </c>
      <c r="G162" s="55">
        <v>93</v>
      </c>
      <c r="H162" s="55">
        <v>136</v>
      </c>
      <c r="I162" s="2" t="b">
        <f t="shared" si="3"/>
        <v>1</v>
      </c>
    </row>
    <row r="163" spans="2:9" x14ac:dyDescent="0.25">
      <c r="B163" s="161">
        <v>41020</v>
      </c>
      <c r="C163" s="12" t="s">
        <v>802</v>
      </c>
      <c r="D163" s="12" t="s">
        <v>801</v>
      </c>
      <c r="E163" s="12" t="s">
        <v>607</v>
      </c>
      <c r="F163" s="12" t="s">
        <v>796</v>
      </c>
      <c r="G163" s="55">
        <v>732</v>
      </c>
      <c r="H163" s="55">
        <v>1978</v>
      </c>
      <c r="I163" s="2" t="b">
        <f t="shared" si="3"/>
        <v>0</v>
      </c>
    </row>
    <row r="164" spans="2:9" x14ac:dyDescent="0.25">
      <c r="B164" s="161">
        <v>40947</v>
      </c>
      <c r="C164" s="12" t="s">
        <v>802</v>
      </c>
      <c r="D164" s="12" t="s">
        <v>801</v>
      </c>
      <c r="E164" s="12" t="s">
        <v>607</v>
      </c>
      <c r="F164" s="12" t="s">
        <v>794</v>
      </c>
      <c r="G164" s="55">
        <v>1938</v>
      </c>
      <c r="H164" s="55">
        <v>2583</v>
      </c>
      <c r="I164" s="2" t="b">
        <f t="shared" si="3"/>
        <v>0</v>
      </c>
    </row>
    <row r="165" spans="2:9" x14ac:dyDescent="0.25">
      <c r="B165" s="161">
        <v>41160</v>
      </c>
      <c r="C165" s="12" t="s">
        <v>792</v>
      </c>
      <c r="D165" s="12" t="s">
        <v>801</v>
      </c>
      <c r="E165" s="12" t="s">
        <v>795</v>
      </c>
      <c r="F165" s="12" t="s">
        <v>799</v>
      </c>
      <c r="G165" s="55">
        <v>892</v>
      </c>
      <c r="H165" s="55">
        <v>2072</v>
      </c>
      <c r="I165" s="2" t="b">
        <f t="shared" si="3"/>
        <v>0</v>
      </c>
    </row>
    <row r="166" spans="2:9" x14ac:dyDescent="0.25">
      <c r="B166" s="161">
        <v>41424</v>
      </c>
      <c r="C166" s="12" t="s">
        <v>792</v>
      </c>
      <c r="D166" s="12" t="s">
        <v>797</v>
      </c>
      <c r="E166" s="12" t="s">
        <v>803</v>
      </c>
      <c r="F166" s="12" t="s">
        <v>791</v>
      </c>
      <c r="G166" s="55">
        <v>1119</v>
      </c>
      <c r="H166" s="55">
        <v>1894</v>
      </c>
      <c r="I166" s="2" t="b">
        <f t="shared" si="3"/>
        <v>0</v>
      </c>
    </row>
    <row r="167" spans="2:9" x14ac:dyDescent="0.25">
      <c r="B167" s="161">
        <v>40945</v>
      </c>
      <c r="C167" s="12" t="s">
        <v>805</v>
      </c>
      <c r="D167" s="12" t="s">
        <v>457</v>
      </c>
      <c r="E167" s="12" t="s">
        <v>487</v>
      </c>
      <c r="F167" s="12" t="s">
        <v>794</v>
      </c>
      <c r="G167" s="55">
        <v>3446</v>
      </c>
      <c r="H167" s="55">
        <v>8015</v>
      </c>
      <c r="I167" s="2" t="b">
        <f t="shared" si="3"/>
        <v>0</v>
      </c>
    </row>
    <row r="168" spans="2:9" x14ac:dyDescent="0.25">
      <c r="B168" s="161">
        <v>41286</v>
      </c>
      <c r="C168" s="12" t="s">
        <v>802</v>
      </c>
      <c r="D168" s="12" t="s">
        <v>801</v>
      </c>
      <c r="E168" s="12" t="s">
        <v>607</v>
      </c>
      <c r="F168" s="12" t="s">
        <v>791</v>
      </c>
      <c r="G168" s="55">
        <v>2649</v>
      </c>
      <c r="H168" s="55">
        <v>5885</v>
      </c>
      <c r="I168" s="2" t="b">
        <f t="shared" si="3"/>
        <v>0</v>
      </c>
    </row>
    <row r="169" spans="2:9" x14ac:dyDescent="0.25">
      <c r="B169" s="161">
        <v>41268</v>
      </c>
      <c r="C169" s="12" t="s">
        <v>792</v>
      </c>
      <c r="D169" s="12" t="s">
        <v>652</v>
      </c>
      <c r="E169" s="12" t="s">
        <v>803</v>
      </c>
      <c r="F169" s="12" t="s">
        <v>799</v>
      </c>
      <c r="G169" s="55">
        <v>3344</v>
      </c>
      <c r="H169" s="55">
        <v>7432</v>
      </c>
      <c r="I169" s="2" t="b">
        <f t="shared" si="3"/>
        <v>0</v>
      </c>
    </row>
    <row r="170" spans="2:9" x14ac:dyDescent="0.25">
      <c r="B170" s="161">
        <v>41362</v>
      </c>
      <c r="C170" s="12" t="s">
        <v>792</v>
      </c>
      <c r="D170" s="12" t="s">
        <v>801</v>
      </c>
      <c r="E170" s="12" t="s">
        <v>804</v>
      </c>
      <c r="F170" s="12" t="s">
        <v>794</v>
      </c>
      <c r="G170" s="55">
        <v>4345</v>
      </c>
      <c r="H170" s="55">
        <v>7492</v>
      </c>
      <c r="I170" s="2" t="b">
        <f t="shared" si="3"/>
        <v>0</v>
      </c>
    </row>
    <row r="171" spans="2:9" x14ac:dyDescent="0.25">
      <c r="B171" s="161">
        <v>41086</v>
      </c>
      <c r="C171" s="12" t="s">
        <v>792</v>
      </c>
      <c r="D171" s="12" t="s">
        <v>797</v>
      </c>
      <c r="E171" s="12" t="s">
        <v>793</v>
      </c>
      <c r="F171" s="12" t="s">
        <v>799</v>
      </c>
      <c r="G171" s="55">
        <v>5929</v>
      </c>
      <c r="H171" s="55">
        <v>6736</v>
      </c>
      <c r="I171" s="2" t="b">
        <f t="shared" si="3"/>
        <v>0</v>
      </c>
    </row>
    <row r="172" spans="2:9" x14ac:dyDescent="0.25">
      <c r="B172" s="161">
        <v>41613</v>
      </c>
      <c r="C172" s="12" t="s">
        <v>802</v>
      </c>
      <c r="D172" s="12" t="s">
        <v>652</v>
      </c>
      <c r="E172" s="12" t="s">
        <v>800</v>
      </c>
      <c r="F172" s="12" t="s">
        <v>791</v>
      </c>
      <c r="G172" s="55">
        <v>1324</v>
      </c>
      <c r="H172" s="55">
        <v>2244</v>
      </c>
      <c r="I172" s="2" t="b">
        <f t="shared" si="3"/>
        <v>0</v>
      </c>
    </row>
    <row r="173" spans="2:9" x14ac:dyDescent="0.25">
      <c r="B173" s="161">
        <v>41067</v>
      </c>
      <c r="C173" s="12" t="s">
        <v>802</v>
      </c>
      <c r="D173" s="12" t="s">
        <v>457</v>
      </c>
      <c r="E173" s="12" t="s">
        <v>798</v>
      </c>
      <c r="F173" s="12" t="s">
        <v>791</v>
      </c>
      <c r="G173" s="55">
        <v>5395</v>
      </c>
      <c r="H173" s="55">
        <v>9809</v>
      </c>
      <c r="I173" s="2" t="b">
        <f t="shared" si="3"/>
        <v>0</v>
      </c>
    </row>
    <row r="174" spans="2:9" x14ac:dyDescent="0.25">
      <c r="B174" s="161">
        <v>41169</v>
      </c>
      <c r="C174" s="12" t="s">
        <v>805</v>
      </c>
      <c r="D174" s="12" t="s">
        <v>457</v>
      </c>
      <c r="E174" s="12" t="s">
        <v>487</v>
      </c>
      <c r="F174" s="12" t="s">
        <v>799</v>
      </c>
      <c r="G174" s="55">
        <v>1576</v>
      </c>
      <c r="H174" s="55">
        <v>2866</v>
      </c>
      <c r="I174" s="2" t="b">
        <f t="shared" si="3"/>
        <v>0</v>
      </c>
    </row>
    <row r="175" spans="2:9" x14ac:dyDescent="0.25">
      <c r="B175" s="161">
        <v>41092</v>
      </c>
      <c r="C175" s="12" t="s">
        <v>792</v>
      </c>
      <c r="D175" s="12" t="s">
        <v>801</v>
      </c>
      <c r="E175" s="12" t="s">
        <v>793</v>
      </c>
      <c r="F175" s="12" t="s">
        <v>796</v>
      </c>
      <c r="G175" s="55">
        <v>2727</v>
      </c>
      <c r="H175" s="55">
        <v>3638</v>
      </c>
      <c r="I175" s="2" t="b">
        <f t="shared" si="3"/>
        <v>0</v>
      </c>
    </row>
    <row r="176" spans="2:9" x14ac:dyDescent="0.25">
      <c r="B176" s="161">
        <v>41206</v>
      </c>
      <c r="C176" s="12" t="s">
        <v>805</v>
      </c>
      <c r="D176" s="12" t="s">
        <v>801</v>
      </c>
      <c r="E176" s="12" t="s">
        <v>809</v>
      </c>
      <c r="F176" s="12" t="s">
        <v>799</v>
      </c>
      <c r="G176" s="55">
        <v>7138</v>
      </c>
      <c r="H176" s="55">
        <v>9518</v>
      </c>
      <c r="I176" s="2" t="b">
        <f t="shared" si="3"/>
        <v>0</v>
      </c>
    </row>
    <row r="177" spans="2:9" x14ac:dyDescent="0.25">
      <c r="B177" s="161">
        <v>41315</v>
      </c>
      <c r="C177" s="12" t="s">
        <v>792</v>
      </c>
      <c r="D177" s="12" t="s">
        <v>797</v>
      </c>
      <c r="E177" s="12" t="s">
        <v>809</v>
      </c>
      <c r="F177" s="12" t="s">
        <v>791</v>
      </c>
      <c r="G177" s="55">
        <v>2543</v>
      </c>
      <c r="H177" s="55">
        <v>5913</v>
      </c>
      <c r="I177" s="2" t="b">
        <f t="shared" si="3"/>
        <v>0</v>
      </c>
    </row>
    <row r="178" spans="2:9" x14ac:dyDescent="0.25">
      <c r="B178" s="161">
        <v>41146</v>
      </c>
      <c r="C178" s="12" t="s">
        <v>790</v>
      </c>
      <c r="D178" s="12" t="s">
        <v>652</v>
      </c>
      <c r="E178" s="12" t="s">
        <v>804</v>
      </c>
      <c r="F178" s="12" t="s">
        <v>791</v>
      </c>
      <c r="G178" s="55">
        <v>2596</v>
      </c>
      <c r="H178" s="55">
        <v>5770</v>
      </c>
      <c r="I178" s="2" t="b">
        <f t="shared" si="3"/>
        <v>0</v>
      </c>
    </row>
    <row r="179" spans="2:9" x14ac:dyDescent="0.25">
      <c r="B179" s="161">
        <v>41252</v>
      </c>
      <c r="C179" s="12" t="s">
        <v>802</v>
      </c>
      <c r="D179" s="12" t="s">
        <v>797</v>
      </c>
      <c r="E179" s="12" t="s">
        <v>804</v>
      </c>
      <c r="F179" s="12" t="s">
        <v>791</v>
      </c>
      <c r="G179" s="55">
        <v>2935</v>
      </c>
      <c r="H179" s="55">
        <v>4317</v>
      </c>
      <c r="I179" s="2" t="b">
        <f t="shared" si="3"/>
        <v>0</v>
      </c>
    </row>
    <row r="180" spans="2:9" x14ac:dyDescent="0.25">
      <c r="B180" s="161">
        <v>41144</v>
      </c>
      <c r="C180" s="12" t="s">
        <v>802</v>
      </c>
      <c r="D180" s="12" t="s">
        <v>801</v>
      </c>
      <c r="E180" s="12" t="s">
        <v>795</v>
      </c>
      <c r="F180" s="12" t="s">
        <v>796</v>
      </c>
      <c r="G180" s="55">
        <v>970</v>
      </c>
      <c r="H180" s="55">
        <v>1763</v>
      </c>
      <c r="I180" s="2" t="b">
        <f t="shared" si="3"/>
        <v>0</v>
      </c>
    </row>
    <row r="181" spans="2:9" x14ac:dyDescent="0.25">
      <c r="B181" s="161">
        <v>40940</v>
      </c>
      <c r="C181" s="12" t="s">
        <v>790</v>
      </c>
      <c r="D181" s="12" t="s">
        <v>457</v>
      </c>
      <c r="E181" s="12" t="s">
        <v>487</v>
      </c>
      <c r="F181" s="12" t="s">
        <v>799</v>
      </c>
      <c r="G181" s="55">
        <v>9319</v>
      </c>
      <c r="H181" s="55">
        <v>9968</v>
      </c>
      <c r="I181" s="2" t="b">
        <f t="shared" si="3"/>
        <v>0</v>
      </c>
    </row>
    <row r="182" spans="2:9" x14ac:dyDescent="0.25">
      <c r="B182" s="161">
        <v>41206</v>
      </c>
      <c r="C182" s="12" t="s">
        <v>802</v>
      </c>
      <c r="D182" s="12" t="s">
        <v>457</v>
      </c>
      <c r="E182" s="12" t="s">
        <v>808</v>
      </c>
      <c r="F182" s="12" t="s">
        <v>791</v>
      </c>
      <c r="G182" s="55">
        <v>5012</v>
      </c>
      <c r="H182" s="55">
        <v>7370</v>
      </c>
      <c r="I182" s="2" t="b">
        <f t="shared" si="3"/>
        <v>0</v>
      </c>
    </row>
    <row r="183" spans="2:9" x14ac:dyDescent="0.25">
      <c r="B183" s="161">
        <v>40979</v>
      </c>
      <c r="C183" s="12" t="s">
        <v>802</v>
      </c>
      <c r="D183" s="12" t="s">
        <v>652</v>
      </c>
      <c r="E183" s="12" t="s">
        <v>804</v>
      </c>
      <c r="F183" s="12" t="s">
        <v>794</v>
      </c>
      <c r="G183" s="55">
        <v>4469</v>
      </c>
      <c r="H183" s="55">
        <v>6570</v>
      </c>
      <c r="I183" s="2" t="b">
        <f t="shared" si="3"/>
        <v>0</v>
      </c>
    </row>
    <row r="184" spans="2:9" x14ac:dyDescent="0.25">
      <c r="B184" s="161">
        <v>41637</v>
      </c>
      <c r="C184" s="12" t="s">
        <v>802</v>
      </c>
      <c r="D184" s="12" t="s">
        <v>652</v>
      </c>
      <c r="E184" s="12" t="s">
        <v>808</v>
      </c>
      <c r="F184" s="12" t="s">
        <v>791</v>
      </c>
      <c r="G184" s="55">
        <v>3134</v>
      </c>
      <c r="H184" s="55">
        <v>7286</v>
      </c>
      <c r="I184" s="2" t="b">
        <f t="shared" si="3"/>
        <v>0</v>
      </c>
    </row>
    <row r="185" spans="2:9" x14ac:dyDescent="0.25">
      <c r="B185" s="161">
        <v>41141</v>
      </c>
      <c r="C185" s="12" t="s">
        <v>802</v>
      </c>
      <c r="D185" s="12" t="s">
        <v>652</v>
      </c>
      <c r="E185" s="12" t="s">
        <v>487</v>
      </c>
      <c r="F185" s="12" t="s">
        <v>791</v>
      </c>
      <c r="G185" s="55">
        <v>197</v>
      </c>
      <c r="H185" s="55">
        <v>458</v>
      </c>
      <c r="I185" s="2" t="b">
        <f t="shared" si="3"/>
        <v>0</v>
      </c>
    </row>
    <row r="186" spans="2:9" x14ac:dyDescent="0.25">
      <c r="B186" s="161">
        <v>41168</v>
      </c>
      <c r="C186" s="12" t="s">
        <v>792</v>
      </c>
      <c r="D186" s="12" t="s">
        <v>652</v>
      </c>
      <c r="E186" s="12" t="s">
        <v>808</v>
      </c>
      <c r="F186" s="12" t="s">
        <v>796</v>
      </c>
      <c r="G186" s="55">
        <v>267</v>
      </c>
      <c r="H186" s="55">
        <v>451</v>
      </c>
      <c r="I186" s="2" t="b">
        <f t="shared" si="3"/>
        <v>0</v>
      </c>
    </row>
    <row r="187" spans="2:9" x14ac:dyDescent="0.25">
      <c r="B187" s="161">
        <v>41106</v>
      </c>
      <c r="C187" s="12" t="s">
        <v>792</v>
      </c>
      <c r="D187" s="12" t="s">
        <v>801</v>
      </c>
      <c r="E187" s="12" t="s">
        <v>804</v>
      </c>
      <c r="F187" s="12" t="s">
        <v>791</v>
      </c>
      <c r="G187" s="55">
        <v>5271</v>
      </c>
      <c r="H187" s="55">
        <v>9583</v>
      </c>
      <c r="I187" s="2" t="b">
        <f t="shared" si="3"/>
        <v>0</v>
      </c>
    </row>
    <row r="188" spans="2:9" x14ac:dyDescent="0.25">
      <c r="B188" s="161">
        <v>41206</v>
      </c>
      <c r="C188" s="12" t="s">
        <v>792</v>
      </c>
      <c r="D188" s="12" t="s">
        <v>652</v>
      </c>
      <c r="E188" s="12" t="s">
        <v>807</v>
      </c>
      <c r="F188" s="12" t="s">
        <v>791</v>
      </c>
      <c r="G188" s="55">
        <v>1799</v>
      </c>
      <c r="H188" s="55">
        <v>2044</v>
      </c>
      <c r="I188" s="2" t="b">
        <f t="shared" si="3"/>
        <v>0</v>
      </c>
    </row>
    <row r="189" spans="2:9" x14ac:dyDescent="0.25">
      <c r="B189" s="161">
        <v>41489</v>
      </c>
      <c r="C189" s="12" t="s">
        <v>790</v>
      </c>
      <c r="D189" s="12" t="s">
        <v>801</v>
      </c>
      <c r="E189" s="12" t="s">
        <v>808</v>
      </c>
      <c r="F189" s="12" t="s">
        <v>796</v>
      </c>
      <c r="G189" s="55">
        <v>1281</v>
      </c>
      <c r="H189" s="55">
        <v>3464</v>
      </c>
      <c r="I189" s="2" t="b">
        <f t="shared" si="3"/>
        <v>0</v>
      </c>
    </row>
    <row r="190" spans="2:9" x14ac:dyDescent="0.25">
      <c r="B190" s="161">
        <v>40958</v>
      </c>
      <c r="C190" s="12" t="s">
        <v>790</v>
      </c>
      <c r="D190" s="12" t="s">
        <v>801</v>
      </c>
      <c r="E190" s="12" t="s">
        <v>806</v>
      </c>
      <c r="F190" s="12" t="s">
        <v>799</v>
      </c>
      <c r="G190" s="55">
        <v>118</v>
      </c>
      <c r="H190" s="55">
        <v>173</v>
      </c>
      <c r="I190" s="2" t="b">
        <f t="shared" si="3"/>
        <v>0</v>
      </c>
    </row>
    <row r="191" spans="2:9" x14ac:dyDescent="0.25">
      <c r="B191" s="161">
        <v>41192</v>
      </c>
      <c r="C191" s="12" t="s">
        <v>802</v>
      </c>
      <c r="D191" s="12" t="s">
        <v>801</v>
      </c>
      <c r="E191" s="12" t="s">
        <v>803</v>
      </c>
      <c r="F191" s="12" t="s">
        <v>796</v>
      </c>
      <c r="G191" s="55">
        <v>6419</v>
      </c>
      <c r="H191" s="55">
        <v>9439</v>
      </c>
      <c r="I191" s="2" t="b">
        <f t="shared" si="3"/>
        <v>0</v>
      </c>
    </row>
    <row r="192" spans="2:9" x14ac:dyDescent="0.25">
      <c r="B192" s="161">
        <v>41169</v>
      </c>
      <c r="C192" s="12" t="s">
        <v>792</v>
      </c>
      <c r="D192" s="12" t="s">
        <v>801</v>
      </c>
      <c r="E192" s="12" t="s">
        <v>803</v>
      </c>
      <c r="F192" s="12" t="s">
        <v>794</v>
      </c>
      <c r="G192" s="55">
        <v>1661</v>
      </c>
      <c r="H192" s="55">
        <v>4488</v>
      </c>
      <c r="I192" s="2" t="b">
        <f t="shared" si="3"/>
        <v>0</v>
      </c>
    </row>
    <row r="193" spans="2:9" x14ac:dyDescent="0.25">
      <c r="B193" s="161">
        <v>41453</v>
      </c>
      <c r="C193" s="12" t="s">
        <v>790</v>
      </c>
      <c r="D193" s="12" t="s">
        <v>797</v>
      </c>
      <c r="E193" s="12" t="s">
        <v>804</v>
      </c>
      <c r="F193" s="12" t="s">
        <v>791</v>
      </c>
      <c r="G193" s="55">
        <v>3356</v>
      </c>
      <c r="H193" s="55">
        <v>3813</v>
      </c>
      <c r="I193" s="2" t="b">
        <f t="shared" si="3"/>
        <v>0</v>
      </c>
    </row>
    <row r="194" spans="2:9" x14ac:dyDescent="0.25">
      <c r="B194" s="161">
        <v>41245</v>
      </c>
      <c r="C194" s="12" t="s">
        <v>792</v>
      </c>
      <c r="D194" s="12" t="s">
        <v>457</v>
      </c>
      <c r="E194" s="12" t="s">
        <v>487</v>
      </c>
      <c r="F194" s="12" t="s">
        <v>796</v>
      </c>
      <c r="G194" s="55">
        <v>6837</v>
      </c>
      <c r="H194" s="55">
        <v>7768</v>
      </c>
      <c r="I194" s="2" t="b">
        <f t="shared" si="3"/>
        <v>0</v>
      </c>
    </row>
    <row r="195" spans="2:9" x14ac:dyDescent="0.25">
      <c r="B195" s="161">
        <v>41169</v>
      </c>
      <c r="C195" s="12" t="s">
        <v>790</v>
      </c>
      <c r="D195" s="12" t="s">
        <v>457</v>
      </c>
      <c r="E195" s="12" t="s">
        <v>607</v>
      </c>
      <c r="F195" s="12" t="s">
        <v>791</v>
      </c>
      <c r="G195" s="55">
        <v>2920</v>
      </c>
      <c r="H195" s="55">
        <v>6486</v>
      </c>
      <c r="I195" s="2" t="b">
        <f t="shared" si="3"/>
        <v>0</v>
      </c>
    </row>
    <row r="196" spans="2:9" x14ac:dyDescent="0.25">
      <c r="B196" s="161">
        <v>41321</v>
      </c>
      <c r="C196" s="12" t="s">
        <v>790</v>
      </c>
      <c r="D196" s="12" t="s">
        <v>652</v>
      </c>
      <c r="E196" s="12" t="s">
        <v>793</v>
      </c>
      <c r="F196" s="12" t="s">
        <v>794</v>
      </c>
      <c r="G196" s="55">
        <v>6576</v>
      </c>
      <c r="H196" s="55">
        <v>8768</v>
      </c>
      <c r="I196" s="2" t="b">
        <f t="shared" si="3"/>
        <v>0</v>
      </c>
    </row>
    <row r="197" spans="2:9" x14ac:dyDescent="0.25">
      <c r="B197" s="161">
        <v>41381</v>
      </c>
      <c r="C197" s="12" t="s">
        <v>792</v>
      </c>
      <c r="D197" s="12" t="s">
        <v>652</v>
      </c>
      <c r="E197" s="12" t="s">
        <v>804</v>
      </c>
      <c r="F197" s="12" t="s">
        <v>799</v>
      </c>
      <c r="G197" s="55">
        <v>4716</v>
      </c>
      <c r="H197" s="55">
        <v>7992</v>
      </c>
      <c r="I197" s="2" t="b">
        <f t="shared" si="3"/>
        <v>0</v>
      </c>
    </row>
    <row r="198" spans="2:9" x14ac:dyDescent="0.25">
      <c r="B198" s="161">
        <v>40933</v>
      </c>
      <c r="C198" s="12" t="s">
        <v>805</v>
      </c>
      <c r="D198" s="12" t="s">
        <v>801</v>
      </c>
      <c r="E198" s="12" t="s">
        <v>809</v>
      </c>
      <c r="F198" s="12" t="s">
        <v>799</v>
      </c>
      <c r="G198" s="55">
        <v>3149</v>
      </c>
      <c r="H198" s="55">
        <v>3579</v>
      </c>
      <c r="I198" s="2" t="b">
        <f t="shared" si="3"/>
        <v>0</v>
      </c>
    </row>
    <row r="199" spans="2:9" x14ac:dyDescent="0.25">
      <c r="B199" s="161">
        <v>41625</v>
      </c>
      <c r="C199" s="12" t="s">
        <v>805</v>
      </c>
      <c r="D199" s="12" t="s">
        <v>801</v>
      </c>
      <c r="E199" s="12" t="s">
        <v>806</v>
      </c>
      <c r="F199" s="12" t="s">
        <v>794</v>
      </c>
      <c r="G199" s="55">
        <v>3077</v>
      </c>
      <c r="H199" s="55">
        <v>5593</v>
      </c>
      <c r="I199" s="2" t="b">
        <f t="shared" ref="I199:I262" si="4">AND($K$9=C199,$L$9=D199,$M$9=F199)</f>
        <v>0</v>
      </c>
    </row>
    <row r="200" spans="2:9" x14ac:dyDescent="0.25">
      <c r="B200" s="161">
        <v>41068</v>
      </c>
      <c r="C200" s="12" t="s">
        <v>792</v>
      </c>
      <c r="D200" s="12" t="s">
        <v>457</v>
      </c>
      <c r="E200" s="12" t="s">
        <v>487</v>
      </c>
      <c r="F200" s="12" t="s">
        <v>791</v>
      </c>
      <c r="G200" s="55">
        <v>4297</v>
      </c>
      <c r="H200" s="55">
        <v>9990</v>
      </c>
      <c r="I200" s="2" t="b">
        <f t="shared" si="4"/>
        <v>0</v>
      </c>
    </row>
    <row r="201" spans="2:9" x14ac:dyDescent="0.25">
      <c r="B201" s="161">
        <v>41492</v>
      </c>
      <c r="C201" s="12" t="s">
        <v>802</v>
      </c>
      <c r="D201" s="12" t="s">
        <v>457</v>
      </c>
      <c r="E201" s="12" t="s">
        <v>809</v>
      </c>
      <c r="F201" s="12" t="s">
        <v>794</v>
      </c>
      <c r="G201" s="55">
        <v>609</v>
      </c>
      <c r="H201" s="55">
        <v>1049</v>
      </c>
      <c r="I201" s="2" t="b">
        <f t="shared" si="4"/>
        <v>0</v>
      </c>
    </row>
    <row r="202" spans="2:9" x14ac:dyDescent="0.25">
      <c r="B202" s="161">
        <v>40987</v>
      </c>
      <c r="C202" s="12" t="s">
        <v>790</v>
      </c>
      <c r="D202" s="12" t="s">
        <v>797</v>
      </c>
      <c r="E202" s="12" t="s">
        <v>804</v>
      </c>
      <c r="F202" s="12" t="s">
        <v>791</v>
      </c>
      <c r="G202" s="55">
        <v>4353</v>
      </c>
      <c r="H202" s="55">
        <v>7377</v>
      </c>
      <c r="I202" s="2" t="b">
        <f t="shared" si="4"/>
        <v>0</v>
      </c>
    </row>
    <row r="203" spans="2:9" x14ac:dyDescent="0.25">
      <c r="B203" s="161">
        <v>41291</v>
      </c>
      <c r="C203" s="12" t="s">
        <v>792</v>
      </c>
      <c r="D203" s="12" t="s">
        <v>801</v>
      </c>
      <c r="E203" s="12" t="s">
        <v>807</v>
      </c>
      <c r="F203" s="12" t="s">
        <v>796</v>
      </c>
      <c r="G203" s="55">
        <v>346</v>
      </c>
      <c r="H203" s="55">
        <v>586</v>
      </c>
      <c r="I203" s="2" t="b">
        <f t="shared" si="4"/>
        <v>0</v>
      </c>
    </row>
    <row r="204" spans="2:9" x14ac:dyDescent="0.25">
      <c r="B204" s="161">
        <v>41025</v>
      </c>
      <c r="C204" s="12" t="s">
        <v>792</v>
      </c>
      <c r="D204" s="12" t="s">
        <v>797</v>
      </c>
      <c r="E204" s="12" t="s">
        <v>798</v>
      </c>
      <c r="F204" s="12" t="s">
        <v>799</v>
      </c>
      <c r="G204" s="55">
        <v>7055</v>
      </c>
      <c r="H204" s="55">
        <v>8018</v>
      </c>
      <c r="I204" s="2" t="b">
        <f t="shared" si="4"/>
        <v>0</v>
      </c>
    </row>
    <row r="205" spans="2:9" x14ac:dyDescent="0.25">
      <c r="B205" s="161">
        <v>41236</v>
      </c>
      <c r="C205" s="12" t="s">
        <v>802</v>
      </c>
      <c r="D205" s="12" t="s">
        <v>797</v>
      </c>
      <c r="E205" s="12" t="s">
        <v>793</v>
      </c>
      <c r="F205" s="12" t="s">
        <v>794</v>
      </c>
      <c r="G205" s="55">
        <v>4700</v>
      </c>
      <c r="H205" s="55">
        <v>5340</v>
      </c>
      <c r="I205" s="2" t="b">
        <f t="shared" si="4"/>
        <v>0</v>
      </c>
    </row>
    <row r="206" spans="2:9" x14ac:dyDescent="0.25">
      <c r="B206" s="161">
        <v>41189</v>
      </c>
      <c r="C206" s="12" t="s">
        <v>802</v>
      </c>
      <c r="D206" s="12" t="s">
        <v>801</v>
      </c>
      <c r="E206" s="12" t="s">
        <v>809</v>
      </c>
      <c r="F206" s="12" t="s">
        <v>794</v>
      </c>
      <c r="G206" s="55">
        <v>1156</v>
      </c>
      <c r="H206" s="55">
        <v>3122</v>
      </c>
      <c r="I206" s="2" t="b">
        <f t="shared" si="4"/>
        <v>0</v>
      </c>
    </row>
    <row r="207" spans="2:9" x14ac:dyDescent="0.25">
      <c r="B207" s="161">
        <v>40937</v>
      </c>
      <c r="C207" s="12" t="s">
        <v>790</v>
      </c>
      <c r="D207" s="12" t="s">
        <v>457</v>
      </c>
      <c r="E207" s="12" t="s">
        <v>809</v>
      </c>
      <c r="F207" s="12" t="s">
        <v>791</v>
      </c>
      <c r="G207" s="55">
        <v>7371</v>
      </c>
      <c r="H207" s="55">
        <v>9829</v>
      </c>
      <c r="I207" s="2" t="b">
        <f t="shared" si="4"/>
        <v>0</v>
      </c>
    </row>
    <row r="208" spans="2:9" x14ac:dyDescent="0.25">
      <c r="B208" s="161">
        <v>41504</v>
      </c>
      <c r="C208" s="12" t="s">
        <v>790</v>
      </c>
      <c r="D208" s="12" t="s">
        <v>457</v>
      </c>
      <c r="E208" s="12" t="s">
        <v>607</v>
      </c>
      <c r="F208" s="12" t="s">
        <v>794</v>
      </c>
      <c r="G208" s="55">
        <v>4026</v>
      </c>
      <c r="H208" s="55">
        <v>4575</v>
      </c>
      <c r="I208" s="2" t="b">
        <f t="shared" si="4"/>
        <v>0</v>
      </c>
    </row>
    <row r="209" spans="2:9" x14ac:dyDescent="0.25">
      <c r="B209" s="161">
        <v>41352</v>
      </c>
      <c r="C209" s="12" t="s">
        <v>790</v>
      </c>
      <c r="D209" s="12" t="s">
        <v>801</v>
      </c>
      <c r="E209" s="12" t="s">
        <v>793</v>
      </c>
      <c r="F209" s="12" t="s">
        <v>794</v>
      </c>
      <c r="G209" s="55">
        <v>4976</v>
      </c>
      <c r="H209" s="55">
        <v>8434</v>
      </c>
      <c r="I209" s="2" t="b">
        <f t="shared" si="4"/>
        <v>0</v>
      </c>
    </row>
    <row r="210" spans="2:9" x14ac:dyDescent="0.25">
      <c r="B210" s="161">
        <v>41598</v>
      </c>
      <c r="C210" s="12" t="s">
        <v>790</v>
      </c>
      <c r="D210" s="12" t="s">
        <v>457</v>
      </c>
      <c r="E210" s="12" t="s">
        <v>798</v>
      </c>
      <c r="F210" s="12" t="s">
        <v>794</v>
      </c>
      <c r="G210" s="55">
        <v>1532</v>
      </c>
      <c r="H210" s="55">
        <v>3562</v>
      </c>
      <c r="I210" s="2" t="b">
        <f t="shared" si="4"/>
        <v>0</v>
      </c>
    </row>
    <row r="211" spans="2:9" x14ac:dyDescent="0.25">
      <c r="B211" s="161">
        <v>40932</v>
      </c>
      <c r="C211" s="12" t="s">
        <v>792</v>
      </c>
      <c r="D211" s="12" t="s">
        <v>652</v>
      </c>
      <c r="E211" s="12" t="s">
        <v>795</v>
      </c>
      <c r="F211" s="12" t="s">
        <v>794</v>
      </c>
      <c r="G211" s="55">
        <v>331</v>
      </c>
      <c r="H211" s="55">
        <v>896</v>
      </c>
      <c r="I211" s="2" t="b">
        <f t="shared" si="4"/>
        <v>0</v>
      </c>
    </row>
    <row r="212" spans="2:9" x14ac:dyDescent="0.25">
      <c r="B212" s="161">
        <v>41425</v>
      </c>
      <c r="C212" s="12" t="s">
        <v>790</v>
      </c>
      <c r="D212" s="12" t="s">
        <v>652</v>
      </c>
      <c r="E212" s="12" t="s">
        <v>795</v>
      </c>
      <c r="F212" s="12" t="s">
        <v>794</v>
      </c>
      <c r="G212" s="55">
        <v>4494</v>
      </c>
      <c r="H212" s="55">
        <v>9989</v>
      </c>
      <c r="I212" s="2" t="b">
        <f t="shared" si="4"/>
        <v>0</v>
      </c>
    </row>
    <row r="213" spans="2:9" x14ac:dyDescent="0.25">
      <c r="B213" s="161">
        <v>41015</v>
      </c>
      <c r="C213" s="12" t="s">
        <v>802</v>
      </c>
      <c r="D213" s="12" t="s">
        <v>797</v>
      </c>
      <c r="E213" s="12" t="s">
        <v>803</v>
      </c>
      <c r="F213" s="12" t="s">
        <v>796</v>
      </c>
      <c r="G213" s="55">
        <v>2350</v>
      </c>
      <c r="H213" s="55">
        <v>4054</v>
      </c>
      <c r="I213" s="2" t="b">
        <f t="shared" si="4"/>
        <v>0</v>
      </c>
    </row>
    <row r="214" spans="2:9" x14ac:dyDescent="0.25">
      <c r="B214" s="161">
        <v>41302</v>
      </c>
      <c r="C214" s="12" t="s">
        <v>792</v>
      </c>
      <c r="D214" s="12" t="s">
        <v>801</v>
      </c>
      <c r="E214" s="12" t="s">
        <v>793</v>
      </c>
      <c r="F214" s="12" t="s">
        <v>794</v>
      </c>
      <c r="G214" s="55">
        <v>4037</v>
      </c>
      <c r="H214" s="55">
        <v>6958</v>
      </c>
      <c r="I214" s="2" t="b">
        <f t="shared" si="4"/>
        <v>0</v>
      </c>
    </row>
    <row r="215" spans="2:9" x14ac:dyDescent="0.25">
      <c r="B215" s="161">
        <v>41156</v>
      </c>
      <c r="C215" s="12" t="s">
        <v>802</v>
      </c>
      <c r="D215" s="12" t="s">
        <v>801</v>
      </c>
      <c r="E215" s="12" t="s">
        <v>798</v>
      </c>
      <c r="F215" s="12" t="s">
        <v>799</v>
      </c>
      <c r="G215" s="55">
        <v>5989</v>
      </c>
      <c r="H215" s="55">
        <v>7986</v>
      </c>
      <c r="I215" s="2" t="b">
        <f t="shared" si="4"/>
        <v>0</v>
      </c>
    </row>
    <row r="216" spans="2:9" x14ac:dyDescent="0.25">
      <c r="B216" s="161">
        <v>41441</v>
      </c>
      <c r="C216" s="12" t="s">
        <v>805</v>
      </c>
      <c r="D216" s="12" t="s">
        <v>797</v>
      </c>
      <c r="E216" s="12" t="s">
        <v>798</v>
      </c>
      <c r="F216" s="12" t="s">
        <v>796</v>
      </c>
      <c r="G216" s="55">
        <v>4951</v>
      </c>
      <c r="H216" s="55">
        <v>6599</v>
      </c>
      <c r="I216" s="2" t="b">
        <f t="shared" si="4"/>
        <v>0</v>
      </c>
    </row>
    <row r="217" spans="2:9" x14ac:dyDescent="0.25">
      <c r="B217" s="161">
        <v>40913</v>
      </c>
      <c r="C217" s="12" t="s">
        <v>802</v>
      </c>
      <c r="D217" s="12" t="s">
        <v>652</v>
      </c>
      <c r="E217" s="12" t="s">
        <v>607</v>
      </c>
      <c r="F217" s="12" t="s">
        <v>796</v>
      </c>
      <c r="G217" s="55">
        <v>644</v>
      </c>
      <c r="H217" s="55">
        <v>1092</v>
      </c>
      <c r="I217" s="2" t="b">
        <f t="shared" si="4"/>
        <v>0</v>
      </c>
    </row>
    <row r="218" spans="2:9" x14ac:dyDescent="0.25">
      <c r="B218" s="161">
        <v>41363</v>
      </c>
      <c r="C218" s="12" t="s">
        <v>802</v>
      </c>
      <c r="D218" s="12" t="s">
        <v>801</v>
      </c>
      <c r="E218" s="12" t="s">
        <v>804</v>
      </c>
      <c r="F218" s="12" t="s">
        <v>799</v>
      </c>
      <c r="G218" s="55">
        <v>3731</v>
      </c>
      <c r="H218" s="55">
        <v>6433</v>
      </c>
      <c r="I218" s="2" t="b">
        <f t="shared" si="4"/>
        <v>0</v>
      </c>
    </row>
    <row r="219" spans="2:9" x14ac:dyDescent="0.25">
      <c r="B219" s="161">
        <v>41540</v>
      </c>
      <c r="C219" s="12" t="s">
        <v>792</v>
      </c>
      <c r="D219" s="12" t="s">
        <v>801</v>
      </c>
      <c r="E219" s="12" t="s">
        <v>804</v>
      </c>
      <c r="F219" s="12" t="s">
        <v>794</v>
      </c>
      <c r="G219" s="55">
        <v>2280</v>
      </c>
      <c r="H219" s="55">
        <v>3354</v>
      </c>
      <c r="I219" s="2" t="b">
        <f t="shared" si="4"/>
        <v>0</v>
      </c>
    </row>
    <row r="220" spans="2:9" x14ac:dyDescent="0.25">
      <c r="B220" s="161">
        <v>41624</v>
      </c>
      <c r="C220" s="12" t="s">
        <v>805</v>
      </c>
      <c r="D220" s="12" t="s">
        <v>457</v>
      </c>
      <c r="E220" s="12" t="s">
        <v>804</v>
      </c>
      <c r="F220" s="12" t="s">
        <v>799</v>
      </c>
      <c r="G220" s="55">
        <v>1233</v>
      </c>
      <c r="H220" s="55">
        <v>1644</v>
      </c>
      <c r="I220" s="2" t="b">
        <f t="shared" si="4"/>
        <v>0</v>
      </c>
    </row>
    <row r="221" spans="2:9" x14ac:dyDescent="0.25">
      <c r="B221" s="161">
        <v>41260</v>
      </c>
      <c r="C221" s="12" t="s">
        <v>802</v>
      </c>
      <c r="D221" s="12" t="s">
        <v>457</v>
      </c>
      <c r="E221" s="12" t="s">
        <v>806</v>
      </c>
      <c r="F221" s="12" t="s">
        <v>791</v>
      </c>
      <c r="G221" s="55">
        <v>1529</v>
      </c>
      <c r="H221" s="55">
        <v>2780</v>
      </c>
      <c r="I221" s="2" t="b">
        <f t="shared" si="4"/>
        <v>0</v>
      </c>
    </row>
    <row r="222" spans="2:9" x14ac:dyDescent="0.25">
      <c r="B222" s="161">
        <v>41621</v>
      </c>
      <c r="C222" s="12" t="s">
        <v>792</v>
      </c>
      <c r="D222" s="12" t="s">
        <v>801</v>
      </c>
      <c r="E222" s="12" t="s">
        <v>807</v>
      </c>
      <c r="F222" s="12" t="s">
        <v>796</v>
      </c>
      <c r="G222" s="55">
        <v>1191</v>
      </c>
      <c r="H222" s="55">
        <v>2054</v>
      </c>
      <c r="I222" s="2" t="b">
        <f t="shared" si="4"/>
        <v>0</v>
      </c>
    </row>
    <row r="223" spans="2:9" x14ac:dyDescent="0.25">
      <c r="B223" s="161">
        <v>41639</v>
      </c>
      <c r="C223" s="12" t="s">
        <v>792</v>
      </c>
      <c r="D223" s="12" t="s">
        <v>801</v>
      </c>
      <c r="E223" s="12" t="s">
        <v>809</v>
      </c>
      <c r="F223" s="12" t="s">
        <v>799</v>
      </c>
      <c r="G223" s="55">
        <v>5395</v>
      </c>
      <c r="H223" s="55">
        <v>9301</v>
      </c>
      <c r="I223" s="2" t="b">
        <f t="shared" si="4"/>
        <v>0</v>
      </c>
    </row>
    <row r="224" spans="2:9" x14ac:dyDescent="0.25">
      <c r="B224" s="161">
        <v>41253</v>
      </c>
      <c r="C224" s="12" t="s">
        <v>805</v>
      </c>
      <c r="D224" s="12" t="s">
        <v>457</v>
      </c>
      <c r="E224" s="12" t="s">
        <v>793</v>
      </c>
      <c r="F224" s="12" t="s">
        <v>796</v>
      </c>
      <c r="G224" s="55">
        <v>3044</v>
      </c>
      <c r="H224" s="55">
        <v>3255</v>
      </c>
      <c r="I224" s="2" t="b">
        <f t="shared" si="4"/>
        <v>0</v>
      </c>
    </row>
    <row r="225" spans="2:9" x14ac:dyDescent="0.25">
      <c r="B225" s="161">
        <v>41204</v>
      </c>
      <c r="C225" s="12" t="s">
        <v>802</v>
      </c>
      <c r="D225" s="12" t="s">
        <v>457</v>
      </c>
      <c r="E225" s="12" t="s">
        <v>798</v>
      </c>
      <c r="F225" s="12" t="s">
        <v>799</v>
      </c>
      <c r="G225" s="55">
        <v>1722</v>
      </c>
      <c r="H225" s="55">
        <v>4004</v>
      </c>
      <c r="I225" s="2" t="b">
        <f t="shared" si="4"/>
        <v>0</v>
      </c>
    </row>
    <row r="226" spans="2:9" x14ac:dyDescent="0.25">
      <c r="B226" s="161">
        <v>40930</v>
      </c>
      <c r="C226" s="12" t="s">
        <v>802</v>
      </c>
      <c r="D226" s="12" t="s">
        <v>652</v>
      </c>
      <c r="E226" s="12" t="s">
        <v>807</v>
      </c>
      <c r="F226" s="12" t="s">
        <v>794</v>
      </c>
      <c r="G226" s="55">
        <v>1387</v>
      </c>
      <c r="H226" s="55">
        <v>3080</v>
      </c>
      <c r="I226" s="2" t="b">
        <f t="shared" si="4"/>
        <v>0</v>
      </c>
    </row>
    <row r="227" spans="2:9" x14ac:dyDescent="0.25">
      <c r="B227" s="161">
        <v>41056</v>
      </c>
      <c r="C227" s="12" t="s">
        <v>790</v>
      </c>
      <c r="D227" s="12" t="s">
        <v>652</v>
      </c>
      <c r="E227" s="12" t="s">
        <v>803</v>
      </c>
      <c r="F227" s="12" t="s">
        <v>794</v>
      </c>
      <c r="G227" s="55">
        <v>88</v>
      </c>
      <c r="H227" s="55">
        <v>195</v>
      </c>
      <c r="I227" s="2" t="b">
        <f t="shared" si="4"/>
        <v>0</v>
      </c>
    </row>
    <row r="228" spans="2:9" x14ac:dyDescent="0.25">
      <c r="B228" s="161">
        <v>41030</v>
      </c>
      <c r="C228" s="12" t="s">
        <v>790</v>
      </c>
      <c r="D228" s="12" t="s">
        <v>457</v>
      </c>
      <c r="E228" s="12" t="s">
        <v>798</v>
      </c>
      <c r="F228" s="12" t="s">
        <v>794</v>
      </c>
      <c r="G228" s="55">
        <v>2952</v>
      </c>
      <c r="H228" s="55">
        <v>3355</v>
      </c>
      <c r="I228" s="2" t="b">
        <f t="shared" si="4"/>
        <v>0</v>
      </c>
    </row>
    <row r="229" spans="2:9" x14ac:dyDescent="0.25">
      <c r="B229" s="161">
        <v>41635</v>
      </c>
      <c r="C229" s="12" t="s">
        <v>802</v>
      </c>
      <c r="D229" s="12" t="s">
        <v>652</v>
      </c>
      <c r="E229" s="12" t="s">
        <v>809</v>
      </c>
      <c r="F229" s="12" t="s">
        <v>796</v>
      </c>
      <c r="G229" s="55">
        <v>4640</v>
      </c>
      <c r="H229" s="55">
        <v>6822</v>
      </c>
      <c r="I229" s="2" t="b">
        <f t="shared" si="4"/>
        <v>0</v>
      </c>
    </row>
    <row r="230" spans="2:9" x14ac:dyDescent="0.25">
      <c r="B230" s="161">
        <v>41195</v>
      </c>
      <c r="C230" s="12" t="s">
        <v>790</v>
      </c>
      <c r="D230" s="12" t="s">
        <v>801</v>
      </c>
      <c r="E230" s="12" t="s">
        <v>800</v>
      </c>
      <c r="F230" s="12" t="s">
        <v>791</v>
      </c>
      <c r="G230" s="55">
        <v>18</v>
      </c>
      <c r="H230" s="55">
        <v>32</v>
      </c>
      <c r="I230" s="2" t="b">
        <f t="shared" si="4"/>
        <v>0</v>
      </c>
    </row>
    <row r="231" spans="2:9" x14ac:dyDescent="0.25">
      <c r="B231" s="161">
        <v>41270</v>
      </c>
      <c r="C231" s="12" t="s">
        <v>790</v>
      </c>
      <c r="D231" s="12" t="s">
        <v>652</v>
      </c>
      <c r="E231" s="12" t="s">
        <v>809</v>
      </c>
      <c r="F231" s="12" t="s">
        <v>794</v>
      </c>
      <c r="G231" s="55">
        <v>3397</v>
      </c>
      <c r="H231" s="55">
        <v>9180</v>
      </c>
      <c r="I231" s="2" t="b">
        <f t="shared" si="4"/>
        <v>0</v>
      </c>
    </row>
    <row r="232" spans="2:9" x14ac:dyDescent="0.25">
      <c r="B232" s="161">
        <v>41341</v>
      </c>
      <c r="C232" s="12" t="s">
        <v>802</v>
      </c>
      <c r="D232" s="12" t="s">
        <v>801</v>
      </c>
      <c r="E232" s="12" t="s">
        <v>487</v>
      </c>
      <c r="F232" s="12" t="s">
        <v>791</v>
      </c>
      <c r="G232" s="55">
        <v>1702</v>
      </c>
      <c r="H232" s="55">
        <v>3781</v>
      </c>
      <c r="I232" s="2" t="b">
        <f t="shared" si="4"/>
        <v>0</v>
      </c>
    </row>
    <row r="233" spans="2:9" x14ac:dyDescent="0.25">
      <c r="B233" s="161">
        <v>40909</v>
      </c>
      <c r="C233" s="12" t="s">
        <v>792</v>
      </c>
      <c r="D233" s="12" t="s">
        <v>457</v>
      </c>
      <c r="E233" s="12" t="s">
        <v>798</v>
      </c>
      <c r="F233" s="12" t="s">
        <v>794</v>
      </c>
      <c r="G233" s="55">
        <v>4341</v>
      </c>
      <c r="H233" s="55">
        <v>7358</v>
      </c>
      <c r="I233" s="2" t="b">
        <f t="shared" si="4"/>
        <v>1</v>
      </c>
    </row>
    <row r="234" spans="2:9" x14ac:dyDescent="0.25">
      <c r="B234" s="161">
        <v>41465</v>
      </c>
      <c r="C234" s="12" t="s">
        <v>790</v>
      </c>
      <c r="D234" s="12" t="s">
        <v>801</v>
      </c>
      <c r="E234" s="12" t="s">
        <v>800</v>
      </c>
      <c r="F234" s="12" t="s">
        <v>794</v>
      </c>
      <c r="G234" s="55">
        <v>3382</v>
      </c>
      <c r="H234" s="55">
        <v>9139</v>
      </c>
      <c r="I234" s="2" t="b">
        <f t="shared" si="4"/>
        <v>0</v>
      </c>
    </row>
    <row r="235" spans="2:9" x14ac:dyDescent="0.25">
      <c r="B235" s="161">
        <v>40950</v>
      </c>
      <c r="C235" s="12" t="s">
        <v>790</v>
      </c>
      <c r="D235" s="12" t="s">
        <v>652</v>
      </c>
      <c r="E235" s="12" t="s">
        <v>795</v>
      </c>
      <c r="F235" s="12" t="s">
        <v>796</v>
      </c>
      <c r="G235" s="55">
        <v>3639</v>
      </c>
      <c r="H235" s="55">
        <v>4853</v>
      </c>
      <c r="I235" s="2" t="b">
        <f t="shared" si="4"/>
        <v>0</v>
      </c>
    </row>
    <row r="236" spans="2:9" x14ac:dyDescent="0.25">
      <c r="B236" s="161">
        <v>41487</v>
      </c>
      <c r="C236" s="12" t="s">
        <v>805</v>
      </c>
      <c r="D236" s="12" t="s">
        <v>457</v>
      </c>
      <c r="E236" s="12" t="s">
        <v>804</v>
      </c>
      <c r="F236" s="12" t="s">
        <v>794</v>
      </c>
      <c r="G236" s="55">
        <v>3567</v>
      </c>
      <c r="H236" s="55">
        <v>8293</v>
      </c>
      <c r="I236" s="2" t="b">
        <f t="shared" si="4"/>
        <v>0</v>
      </c>
    </row>
    <row r="237" spans="2:9" x14ac:dyDescent="0.25">
      <c r="B237" s="161">
        <v>41562</v>
      </c>
      <c r="C237" s="12" t="s">
        <v>805</v>
      </c>
      <c r="D237" s="12" t="s">
        <v>797</v>
      </c>
      <c r="E237" s="12" t="s">
        <v>487</v>
      </c>
      <c r="F237" s="12" t="s">
        <v>791</v>
      </c>
      <c r="G237" s="55">
        <v>3220</v>
      </c>
      <c r="H237" s="55">
        <v>8702</v>
      </c>
      <c r="I237" s="2" t="b">
        <f t="shared" si="4"/>
        <v>0</v>
      </c>
    </row>
    <row r="238" spans="2:9" x14ac:dyDescent="0.25">
      <c r="B238" s="161">
        <v>41323</v>
      </c>
      <c r="C238" s="12" t="s">
        <v>802</v>
      </c>
      <c r="D238" s="12" t="s">
        <v>801</v>
      </c>
      <c r="E238" s="12" t="s">
        <v>809</v>
      </c>
      <c r="F238" s="12" t="s">
        <v>796</v>
      </c>
      <c r="G238" s="55">
        <v>2925</v>
      </c>
      <c r="H238" s="55">
        <v>6802</v>
      </c>
      <c r="I238" s="2" t="b">
        <f t="shared" si="4"/>
        <v>0</v>
      </c>
    </row>
    <row r="239" spans="2:9" x14ac:dyDescent="0.25">
      <c r="B239" s="161">
        <v>41144</v>
      </c>
      <c r="C239" s="12" t="s">
        <v>792</v>
      </c>
      <c r="D239" s="12" t="s">
        <v>652</v>
      </c>
      <c r="E239" s="12" t="s">
        <v>487</v>
      </c>
      <c r="F239" s="12" t="s">
        <v>791</v>
      </c>
      <c r="G239" s="55">
        <v>783</v>
      </c>
      <c r="H239" s="55">
        <v>1739</v>
      </c>
      <c r="I239" s="2" t="b">
        <f t="shared" si="4"/>
        <v>0</v>
      </c>
    </row>
    <row r="240" spans="2:9" x14ac:dyDescent="0.25">
      <c r="B240" s="161">
        <v>41232</v>
      </c>
      <c r="C240" s="12" t="s">
        <v>802</v>
      </c>
      <c r="D240" s="12" t="s">
        <v>801</v>
      </c>
      <c r="E240" s="12" t="s">
        <v>487</v>
      </c>
      <c r="F240" s="12" t="s">
        <v>799</v>
      </c>
      <c r="G240" s="55">
        <v>1194</v>
      </c>
      <c r="H240" s="55">
        <v>1592</v>
      </c>
      <c r="I240" s="2" t="b">
        <f t="shared" si="4"/>
        <v>0</v>
      </c>
    </row>
    <row r="241" spans="2:9" x14ac:dyDescent="0.25">
      <c r="B241" s="161">
        <v>41008</v>
      </c>
      <c r="C241" s="12" t="s">
        <v>805</v>
      </c>
      <c r="D241" s="12" t="s">
        <v>797</v>
      </c>
      <c r="E241" s="12" t="s">
        <v>487</v>
      </c>
      <c r="F241" s="12" t="s">
        <v>796</v>
      </c>
      <c r="G241" s="55">
        <v>2647</v>
      </c>
      <c r="H241" s="55">
        <v>4566</v>
      </c>
      <c r="I241" s="2" t="b">
        <f t="shared" si="4"/>
        <v>0</v>
      </c>
    </row>
    <row r="242" spans="2:9" x14ac:dyDescent="0.25">
      <c r="B242" s="161">
        <v>41111</v>
      </c>
      <c r="C242" s="12" t="s">
        <v>790</v>
      </c>
      <c r="D242" s="12" t="s">
        <v>797</v>
      </c>
      <c r="E242" s="12" t="s">
        <v>806</v>
      </c>
      <c r="F242" s="12" t="s">
        <v>799</v>
      </c>
      <c r="G242" s="55">
        <v>1642</v>
      </c>
      <c r="H242" s="55">
        <v>1866</v>
      </c>
      <c r="I242" s="2" t="b">
        <f t="shared" si="4"/>
        <v>0</v>
      </c>
    </row>
    <row r="243" spans="2:9" x14ac:dyDescent="0.25">
      <c r="B243" s="161">
        <v>41563</v>
      </c>
      <c r="C243" s="12" t="s">
        <v>805</v>
      </c>
      <c r="D243" s="12" t="s">
        <v>797</v>
      </c>
      <c r="E243" s="12" t="s">
        <v>809</v>
      </c>
      <c r="F243" s="12" t="s">
        <v>799</v>
      </c>
      <c r="G243" s="55">
        <v>4250</v>
      </c>
      <c r="H243" s="55">
        <v>7329</v>
      </c>
      <c r="I243" s="2" t="b">
        <f t="shared" si="4"/>
        <v>0</v>
      </c>
    </row>
    <row r="244" spans="2:9" x14ac:dyDescent="0.25">
      <c r="B244" s="161">
        <v>41608</v>
      </c>
      <c r="C244" s="12" t="s">
        <v>802</v>
      </c>
      <c r="D244" s="12" t="s">
        <v>652</v>
      </c>
      <c r="E244" s="12" t="s">
        <v>807</v>
      </c>
      <c r="F244" s="12" t="s">
        <v>794</v>
      </c>
      <c r="G244" s="55">
        <v>4762</v>
      </c>
      <c r="H244" s="55">
        <v>8208</v>
      </c>
      <c r="I244" s="2" t="b">
        <f t="shared" si="4"/>
        <v>0</v>
      </c>
    </row>
    <row r="245" spans="2:9" x14ac:dyDescent="0.25">
      <c r="B245" s="161">
        <v>41600</v>
      </c>
      <c r="C245" s="12" t="s">
        <v>792</v>
      </c>
      <c r="D245" s="12" t="s">
        <v>457</v>
      </c>
      <c r="E245" s="12" t="s">
        <v>806</v>
      </c>
      <c r="F245" s="12" t="s">
        <v>794</v>
      </c>
      <c r="G245" s="55">
        <v>7013</v>
      </c>
      <c r="H245" s="55">
        <v>7501</v>
      </c>
      <c r="I245" s="2" t="b">
        <f t="shared" si="4"/>
        <v>1</v>
      </c>
    </row>
    <row r="246" spans="2:9" x14ac:dyDescent="0.25">
      <c r="B246" s="161">
        <v>41487</v>
      </c>
      <c r="C246" s="12" t="s">
        <v>805</v>
      </c>
      <c r="D246" s="12" t="s">
        <v>801</v>
      </c>
      <c r="E246" s="12" t="s">
        <v>808</v>
      </c>
      <c r="F246" s="12" t="s">
        <v>794</v>
      </c>
      <c r="G246" s="55">
        <v>4595</v>
      </c>
      <c r="H246" s="55">
        <v>8355</v>
      </c>
      <c r="I246" s="2" t="b">
        <f t="shared" si="4"/>
        <v>0</v>
      </c>
    </row>
    <row r="247" spans="2:9" x14ac:dyDescent="0.25">
      <c r="B247" s="161">
        <v>41311</v>
      </c>
      <c r="C247" s="12" t="s">
        <v>802</v>
      </c>
      <c r="D247" s="12" t="s">
        <v>797</v>
      </c>
      <c r="E247" s="12" t="s">
        <v>793</v>
      </c>
      <c r="F247" s="12" t="s">
        <v>796</v>
      </c>
      <c r="G247" s="55">
        <v>3140</v>
      </c>
      <c r="H247" s="55">
        <v>7299</v>
      </c>
      <c r="I247" s="2" t="b">
        <f t="shared" si="4"/>
        <v>0</v>
      </c>
    </row>
    <row r="248" spans="2:9" x14ac:dyDescent="0.25">
      <c r="B248" s="161">
        <v>41159</v>
      </c>
      <c r="C248" s="12" t="s">
        <v>802</v>
      </c>
      <c r="D248" s="12" t="s">
        <v>801</v>
      </c>
      <c r="E248" s="12" t="s">
        <v>607</v>
      </c>
      <c r="F248" s="12" t="s">
        <v>791</v>
      </c>
      <c r="G248" s="55">
        <v>1865</v>
      </c>
      <c r="H248" s="55">
        <v>2743</v>
      </c>
      <c r="I248" s="2" t="b">
        <f t="shared" si="4"/>
        <v>0</v>
      </c>
    </row>
    <row r="249" spans="2:9" x14ac:dyDescent="0.25">
      <c r="B249" s="161">
        <v>41071</v>
      </c>
      <c r="C249" s="12" t="s">
        <v>802</v>
      </c>
      <c r="D249" s="12" t="s">
        <v>457</v>
      </c>
      <c r="E249" s="12" t="s">
        <v>800</v>
      </c>
      <c r="F249" s="12" t="s">
        <v>796</v>
      </c>
      <c r="G249" s="55">
        <v>2204</v>
      </c>
      <c r="H249" s="55">
        <v>4899</v>
      </c>
      <c r="I249" s="2" t="b">
        <f t="shared" si="4"/>
        <v>0</v>
      </c>
    </row>
    <row r="250" spans="2:9" x14ac:dyDescent="0.25">
      <c r="B250" s="161">
        <v>41511</v>
      </c>
      <c r="C250" s="12" t="s">
        <v>792</v>
      </c>
      <c r="D250" s="12" t="s">
        <v>797</v>
      </c>
      <c r="E250" s="12" t="s">
        <v>795</v>
      </c>
      <c r="F250" s="12" t="s">
        <v>794</v>
      </c>
      <c r="G250" s="55">
        <v>4357</v>
      </c>
      <c r="H250" s="55">
        <v>7383</v>
      </c>
      <c r="I250" s="2" t="b">
        <f t="shared" si="4"/>
        <v>0</v>
      </c>
    </row>
    <row r="251" spans="2:9" x14ac:dyDescent="0.25">
      <c r="B251" s="161">
        <v>41351</v>
      </c>
      <c r="C251" s="12" t="s">
        <v>802</v>
      </c>
      <c r="D251" s="12" t="s">
        <v>801</v>
      </c>
      <c r="E251" s="12" t="s">
        <v>807</v>
      </c>
      <c r="F251" s="12" t="s">
        <v>799</v>
      </c>
      <c r="G251" s="55">
        <v>250</v>
      </c>
      <c r="H251" s="55">
        <v>367</v>
      </c>
      <c r="I251" s="2" t="b">
        <f t="shared" si="4"/>
        <v>0</v>
      </c>
    </row>
    <row r="252" spans="2:9" x14ac:dyDescent="0.25">
      <c r="B252" s="161">
        <v>41404</v>
      </c>
      <c r="C252" s="12" t="s">
        <v>790</v>
      </c>
      <c r="D252" s="12" t="s">
        <v>457</v>
      </c>
      <c r="E252" s="12" t="s">
        <v>809</v>
      </c>
      <c r="F252" s="12" t="s">
        <v>799</v>
      </c>
      <c r="G252" s="55">
        <v>1856</v>
      </c>
      <c r="H252" s="55">
        <v>5016</v>
      </c>
      <c r="I252" s="2" t="b">
        <f t="shared" si="4"/>
        <v>0</v>
      </c>
    </row>
    <row r="253" spans="2:9" x14ac:dyDescent="0.25">
      <c r="B253" s="161">
        <v>41371</v>
      </c>
      <c r="C253" s="12" t="s">
        <v>802</v>
      </c>
      <c r="D253" s="12" t="s">
        <v>797</v>
      </c>
      <c r="E253" s="12" t="s">
        <v>798</v>
      </c>
      <c r="F253" s="12" t="s">
        <v>791</v>
      </c>
      <c r="G253" s="55">
        <v>713</v>
      </c>
      <c r="H253" s="55">
        <v>1296</v>
      </c>
      <c r="I253" s="2" t="b">
        <f t="shared" si="4"/>
        <v>0</v>
      </c>
    </row>
    <row r="254" spans="2:9" x14ac:dyDescent="0.25">
      <c r="B254" s="161">
        <v>41624</v>
      </c>
      <c r="C254" s="12" t="s">
        <v>802</v>
      </c>
      <c r="D254" s="12" t="s">
        <v>797</v>
      </c>
      <c r="E254" s="12" t="s">
        <v>800</v>
      </c>
      <c r="F254" s="12" t="s">
        <v>799</v>
      </c>
      <c r="G254" s="55">
        <v>2335</v>
      </c>
      <c r="H254" s="55">
        <v>5430</v>
      </c>
      <c r="I254" s="2" t="b">
        <f t="shared" si="4"/>
        <v>0</v>
      </c>
    </row>
    <row r="255" spans="2:9" x14ac:dyDescent="0.25">
      <c r="B255" s="161">
        <v>41252</v>
      </c>
      <c r="C255" s="12" t="s">
        <v>802</v>
      </c>
      <c r="D255" s="12" t="s">
        <v>652</v>
      </c>
      <c r="E255" s="12" t="s">
        <v>803</v>
      </c>
      <c r="F255" s="12" t="s">
        <v>796</v>
      </c>
      <c r="G255" s="55">
        <v>627</v>
      </c>
      <c r="H255" s="55">
        <v>1394</v>
      </c>
      <c r="I255" s="2" t="b">
        <f t="shared" si="4"/>
        <v>0</v>
      </c>
    </row>
    <row r="256" spans="2:9" x14ac:dyDescent="0.25">
      <c r="B256" s="161">
        <v>40955</v>
      </c>
      <c r="C256" s="12" t="s">
        <v>790</v>
      </c>
      <c r="D256" s="12" t="s">
        <v>457</v>
      </c>
      <c r="E256" s="12" t="s">
        <v>803</v>
      </c>
      <c r="F256" s="12" t="s">
        <v>799</v>
      </c>
      <c r="G256" s="55">
        <v>5086</v>
      </c>
      <c r="H256" s="55">
        <v>8620</v>
      </c>
      <c r="I256" s="2" t="b">
        <f t="shared" si="4"/>
        <v>0</v>
      </c>
    </row>
    <row r="257" spans="2:9" x14ac:dyDescent="0.25">
      <c r="B257" s="161">
        <v>40917</v>
      </c>
      <c r="C257" s="12" t="s">
        <v>805</v>
      </c>
      <c r="D257" s="12" t="s">
        <v>801</v>
      </c>
      <c r="E257" s="12" t="s">
        <v>806</v>
      </c>
      <c r="F257" s="12" t="s">
        <v>794</v>
      </c>
      <c r="G257" s="55">
        <v>2071</v>
      </c>
      <c r="H257" s="55">
        <v>5597</v>
      </c>
      <c r="I257" s="2" t="b">
        <f t="shared" si="4"/>
        <v>0</v>
      </c>
    </row>
    <row r="258" spans="2:9" x14ac:dyDescent="0.25">
      <c r="B258" s="161">
        <v>41114</v>
      </c>
      <c r="C258" s="12" t="s">
        <v>805</v>
      </c>
      <c r="D258" s="12" t="s">
        <v>652</v>
      </c>
      <c r="E258" s="12" t="s">
        <v>809</v>
      </c>
      <c r="F258" s="12" t="s">
        <v>791</v>
      </c>
      <c r="G258" s="55">
        <v>3235</v>
      </c>
      <c r="H258" s="55">
        <v>8741</v>
      </c>
      <c r="I258" s="2" t="b">
        <f t="shared" si="4"/>
        <v>0</v>
      </c>
    </row>
    <row r="259" spans="2:9" x14ac:dyDescent="0.25">
      <c r="B259" s="161">
        <v>41441</v>
      </c>
      <c r="C259" s="12" t="s">
        <v>802</v>
      </c>
      <c r="D259" s="12" t="s">
        <v>801</v>
      </c>
      <c r="E259" s="12" t="s">
        <v>807</v>
      </c>
      <c r="F259" s="12" t="s">
        <v>799</v>
      </c>
      <c r="G259" s="55">
        <v>1837</v>
      </c>
      <c r="H259" s="55">
        <v>3166</v>
      </c>
      <c r="I259" s="2" t="b">
        <f t="shared" si="4"/>
        <v>0</v>
      </c>
    </row>
    <row r="260" spans="2:9" x14ac:dyDescent="0.25">
      <c r="B260" s="161">
        <v>41303</v>
      </c>
      <c r="C260" s="12" t="s">
        <v>802</v>
      </c>
      <c r="D260" s="12" t="s">
        <v>801</v>
      </c>
      <c r="E260" s="12" t="s">
        <v>607</v>
      </c>
      <c r="F260" s="12" t="s">
        <v>796</v>
      </c>
      <c r="G260" s="55">
        <v>970</v>
      </c>
      <c r="H260" s="55">
        <v>2255</v>
      </c>
      <c r="I260" s="2" t="b">
        <f t="shared" si="4"/>
        <v>0</v>
      </c>
    </row>
    <row r="261" spans="2:9" x14ac:dyDescent="0.25">
      <c r="B261" s="161">
        <v>41540</v>
      </c>
      <c r="C261" s="12" t="s">
        <v>805</v>
      </c>
      <c r="D261" s="12" t="s">
        <v>797</v>
      </c>
      <c r="E261" s="12" t="s">
        <v>607</v>
      </c>
      <c r="F261" s="12" t="s">
        <v>799</v>
      </c>
      <c r="G261" s="55">
        <v>1560</v>
      </c>
      <c r="H261" s="55">
        <v>3628</v>
      </c>
      <c r="I261" s="2" t="b">
        <f t="shared" si="4"/>
        <v>0</v>
      </c>
    </row>
    <row r="262" spans="2:9" x14ac:dyDescent="0.25">
      <c r="B262" s="161">
        <v>41308</v>
      </c>
      <c r="C262" s="12" t="s">
        <v>790</v>
      </c>
      <c r="D262" s="12" t="s">
        <v>797</v>
      </c>
      <c r="E262" s="12" t="s">
        <v>804</v>
      </c>
      <c r="F262" s="12" t="s">
        <v>791</v>
      </c>
      <c r="G262" s="55">
        <v>864</v>
      </c>
      <c r="H262" s="55">
        <v>2008</v>
      </c>
      <c r="I262" s="2" t="b">
        <f t="shared" si="4"/>
        <v>0</v>
      </c>
    </row>
    <row r="263" spans="2:9" x14ac:dyDescent="0.25">
      <c r="B263" s="161">
        <v>41033</v>
      </c>
      <c r="C263" s="12" t="s">
        <v>792</v>
      </c>
      <c r="D263" s="12" t="s">
        <v>801</v>
      </c>
      <c r="E263" s="12" t="s">
        <v>607</v>
      </c>
      <c r="F263" s="12" t="s">
        <v>799</v>
      </c>
      <c r="G263" s="55">
        <v>2340</v>
      </c>
      <c r="H263" s="55">
        <v>2659</v>
      </c>
      <c r="I263" s="2" t="b">
        <f t="shared" ref="I263:I326" si="5">AND($K$9=C263,$L$9=D263,$M$9=F263)</f>
        <v>0</v>
      </c>
    </row>
    <row r="264" spans="2:9" x14ac:dyDescent="0.25">
      <c r="B264" s="161">
        <v>41452</v>
      </c>
      <c r="C264" s="12" t="s">
        <v>805</v>
      </c>
      <c r="D264" s="12" t="s">
        <v>652</v>
      </c>
      <c r="E264" s="12" t="s">
        <v>793</v>
      </c>
      <c r="F264" s="12" t="s">
        <v>794</v>
      </c>
      <c r="G264" s="55">
        <v>3977</v>
      </c>
      <c r="H264" s="55">
        <v>4519</v>
      </c>
      <c r="I264" s="2" t="b">
        <f t="shared" si="5"/>
        <v>0</v>
      </c>
    </row>
    <row r="265" spans="2:9" x14ac:dyDescent="0.25">
      <c r="B265" s="161">
        <v>41523</v>
      </c>
      <c r="C265" s="12" t="s">
        <v>792</v>
      </c>
      <c r="D265" s="12" t="s">
        <v>652</v>
      </c>
      <c r="E265" s="12" t="s">
        <v>607</v>
      </c>
      <c r="F265" s="12" t="s">
        <v>794</v>
      </c>
      <c r="G265" s="55">
        <v>4594</v>
      </c>
      <c r="H265" s="55">
        <v>6124</v>
      </c>
      <c r="I265" s="2" t="b">
        <f t="shared" si="5"/>
        <v>0</v>
      </c>
    </row>
    <row r="266" spans="2:9" x14ac:dyDescent="0.25">
      <c r="B266" s="161">
        <v>41466</v>
      </c>
      <c r="C266" s="12" t="s">
        <v>792</v>
      </c>
      <c r="D266" s="12" t="s">
        <v>797</v>
      </c>
      <c r="E266" s="12" t="s">
        <v>807</v>
      </c>
      <c r="F266" s="12" t="s">
        <v>791</v>
      </c>
      <c r="G266" s="55">
        <v>3107</v>
      </c>
      <c r="H266" s="55">
        <v>7226</v>
      </c>
      <c r="I266" s="2" t="b">
        <f t="shared" si="5"/>
        <v>0</v>
      </c>
    </row>
    <row r="267" spans="2:9" x14ac:dyDescent="0.25">
      <c r="B267" s="161">
        <v>41003</v>
      </c>
      <c r="C267" s="12" t="s">
        <v>792</v>
      </c>
      <c r="D267" s="12" t="s">
        <v>457</v>
      </c>
      <c r="E267" s="12" t="s">
        <v>807</v>
      </c>
      <c r="F267" s="12" t="s">
        <v>794</v>
      </c>
      <c r="G267" s="55">
        <v>1232</v>
      </c>
      <c r="H267" s="55">
        <v>2738</v>
      </c>
      <c r="I267" s="2" t="b">
        <f t="shared" si="5"/>
        <v>1</v>
      </c>
    </row>
    <row r="268" spans="2:9" x14ac:dyDescent="0.25">
      <c r="B268" s="161">
        <v>40945</v>
      </c>
      <c r="C268" s="12" t="s">
        <v>792</v>
      </c>
      <c r="D268" s="12" t="s">
        <v>457</v>
      </c>
      <c r="E268" s="12" t="s">
        <v>487</v>
      </c>
      <c r="F268" s="12" t="s">
        <v>796</v>
      </c>
      <c r="G268" s="55">
        <v>2086</v>
      </c>
      <c r="H268" s="55">
        <v>5634</v>
      </c>
      <c r="I268" s="2" t="b">
        <f t="shared" si="5"/>
        <v>0</v>
      </c>
    </row>
    <row r="269" spans="2:9" x14ac:dyDescent="0.25">
      <c r="B269" s="161">
        <v>41631</v>
      </c>
      <c r="C269" s="12" t="s">
        <v>805</v>
      </c>
      <c r="D269" s="12" t="s">
        <v>652</v>
      </c>
      <c r="E269" s="12" t="s">
        <v>800</v>
      </c>
      <c r="F269" s="12" t="s">
        <v>794</v>
      </c>
      <c r="G269" s="55">
        <v>4065</v>
      </c>
      <c r="H269" s="55">
        <v>7390</v>
      </c>
      <c r="I269" s="2" t="b">
        <f t="shared" si="5"/>
        <v>0</v>
      </c>
    </row>
    <row r="270" spans="2:9" x14ac:dyDescent="0.25">
      <c r="B270" s="161">
        <v>41438</v>
      </c>
      <c r="C270" s="12" t="s">
        <v>805</v>
      </c>
      <c r="D270" s="12" t="s">
        <v>457</v>
      </c>
      <c r="E270" s="12" t="s">
        <v>487</v>
      </c>
      <c r="F270" s="12" t="s">
        <v>794</v>
      </c>
      <c r="G270" s="55">
        <v>5644</v>
      </c>
      <c r="H270" s="55">
        <v>9567</v>
      </c>
      <c r="I270" s="2" t="b">
        <f t="shared" si="5"/>
        <v>0</v>
      </c>
    </row>
    <row r="271" spans="2:9" x14ac:dyDescent="0.25">
      <c r="B271" s="161">
        <v>41615</v>
      </c>
      <c r="C271" s="12" t="s">
        <v>805</v>
      </c>
      <c r="D271" s="12" t="s">
        <v>457</v>
      </c>
      <c r="E271" s="12" t="s">
        <v>798</v>
      </c>
      <c r="F271" s="12" t="s">
        <v>796</v>
      </c>
      <c r="G271" s="55">
        <v>4258</v>
      </c>
      <c r="H271" s="55">
        <v>6261</v>
      </c>
      <c r="I271" s="2" t="b">
        <f t="shared" si="5"/>
        <v>0</v>
      </c>
    </row>
    <row r="272" spans="2:9" x14ac:dyDescent="0.25">
      <c r="B272" s="161">
        <v>41293</v>
      </c>
      <c r="C272" s="12" t="s">
        <v>802</v>
      </c>
      <c r="D272" s="12" t="s">
        <v>652</v>
      </c>
      <c r="E272" s="12" t="s">
        <v>800</v>
      </c>
      <c r="F272" s="12" t="s">
        <v>796</v>
      </c>
      <c r="G272" s="55">
        <v>3346</v>
      </c>
      <c r="H272" s="55">
        <v>4920</v>
      </c>
      <c r="I272" s="2" t="b">
        <f t="shared" si="5"/>
        <v>0</v>
      </c>
    </row>
    <row r="273" spans="2:9" x14ac:dyDescent="0.25">
      <c r="B273" s="161">
        <v>41226</v>
      </c>
      <c r="C273" s="12" t="s">
        <v>805</v>
      </c>
      <c r="D273" s="12" t="s">
        <v>457</v>
      </c>
      <c r="E273" s="12" t="s">
        <v>800</v>
      </c>
      <c r="F273" s="12" t="s">
        <v>794</v>
      </c>
      <c r="G273" s="55">
        <v>4232</v>
      </c>
      <c r="H273" s="55">
        <v>7694</v>
      </c>
      <c r="I273" s="2" t="b">
        <f t="shared" si="5"/>
        <v>0</v>
      </c>
    </row>
    <row r="274" spans="2:9" x14ac:dyDescent="0.25">
      <c r="B274" s="161">
        <v>41476</v>
      </c>
      <c r="C274" s="12" t="s">
        <v>805</v>
      </c>
      <c r="D274" s="12" t="s">
        <v>652</v>
      </c>
      <c r="E274" s="12" t="s">
        <v>487</v>
      </c>
      <c r="F274" s="12" t="s">
        <v>799</v>
      </c>
      <c r="G274" s="55">
        <v>3120</v>
      </c>
      <c r="H274" s="55">
        <v>7256</v>
      </c>
      <c r="I274" s="2" t="b">
        <f t="shared" si="5"/>
        <v>0</v>
      </c>
    </row>
    <row r="275" spans="2:9" x14ac:dyDescent="0.25">
      <c r="B275" s="161">
        <v>41208</v>
      </c>
      <c r="C275" s="12" t="s">
        <v>802</v>
      </c>
      <c r="D275" s="12" t="s">
        <v>801</v>
      </c>
      <c r="E275" s="12" t="s">
        <v>803</v>
      </c>
      <c r="F275" s="12" t="s">
        <v>791</v>
      </c>
      <c r="G275" s="55">
        <v>5843</v>
      </c>
      <c r="H275" s="55">
        <v>6638</v>
      </c>
      <c r="I275" s="2" t="b">
        <f t="shared" si="5"/>
        <v>0</v>
      </c>
    </row>
    <row r="276" spans="2:9" x14ac:dyDescent="0.25">
      <c r="B276" s="161">
        <v>41082</v>
      </c>
      <c r="C276" s="12" t="s">
        <v>792</v>
      </c>
      <c r="D276" s="12" t="s">
        <v>457</v>
      </c>
      <c r="E276" s="12" t="s">
        <v>809</v>
      </c>
      <c r="F276" s="12" t="s">
        <v>796</v>
      </c>
      <c r="G276" s="55">
        <v>6893</v>
      </c>
      <c r="H276" s="55">
        <v>9190</v>
      </c>
      <c r="I276" s="2" t="b">
        <f t="shared" si="5"/>
        <v>0</v>
      </c>
    </row>
    <row r="277" spans="2:9" x14ac:dyDescent="0.25">
      <c r="B277" s="161">
        <v>41228</v>
      </c>
      <c r="C277" s="12" t="s">
        <v>805</v>
      </c>
      <c r="D277" s="12" t="s">
        <v>797</v>
      </c>
      <c r="E277" s="12" t="s">
        <v>798</v>
      </c>
      <c r="F277" s="12" t="s">
        <v>796</v>
      </c>
      <c r="G277" s="55">
        <v>4855</v>
      </c>
      <c r="H277" s="55">
        <v>7140</v>
      </c>
      <c r="I277" s="2" t="b">
        <f t="shared" si="5"/>
        <v>0</v>
      </c>
    </row>
    <row r="278" spans="2:9" x14ac:dyDescent="0.25">
      <c r="B278" s="161">
        <v>41419</v>
      </c>
      <c r="C278" s="12" t="s">
        <v>802</v>
      </c>
      <c r="D278" s="12" t="s">
        <v>797</v>
      </c>
      <c r="E278" s="12" t="s">
        <v>804</v>
      </c>
      <c r="F278" s="12" t="s">
        <v>799</v>
      </c>
      <c r="G278" s="55">
        <v>1259</v>
      </c>
      <c r="H278" s="55">
        <v>2929</v>
      </c>
      <c r="I278" s="2" t="b">
        <f t="shared" si="5"/>
        <v>0</v>
      </c>
    </row>
    <row r="279" spans="2:9" x14ac:dyDescent="0.25">
      <c r="B279" s="161">
        <v>41607</v>
      </c>
      <c r="C279" s="12" t="s">
        <v>790</v>
      </c>
      <c r="D279" s="12" t="s">
        <v>457</v>
      </c>
      <c r="E279" s="12" t="s">
        <v>808</v>
      </c>
      <c r="F279" s="12" t="s">
        <v>799</v>
      </c>
      <c r="G279" s="55">
        <v>4756</v>
      </c>
      <c r="H279" s="55">
        <v>6996</v>
      </c>
      <c r="I279" s="2" t="b">
        <f t="shared" si="5"/>
        <v>0</v>
      </c>
    </row>
    <row r="280" spans="2:9" x14ac:dyDescent="0.25">
      <c r="B280" s="161">
        <v>41517</v>
      </c>
      <c r="C280" s="12" t="s">
        <v>792</v>
      </c>
      <c r="D280" s="12" t="s">
        <v>457</v>
      </c>
      <c r="E280" s="12" t="s">
        <v>806</v>
      </c>
      <c r="F280" s="12" t="s">
        <v>791</v>
      </c>
      <c r="G280" s="55">
        <v>677</v>
      </c>
      <c r="H280" s="55">
        <v>1168</v>
      </c>
      <c r="I280" s="2" t="b">
        <f t="shared" si="5"/>
        <v>0</v>
      </c>
    </row>
    <row r="281" spans="2:9" x14ac:dyDescent="0.25">
      <c r="B281" s="161">
        <v>41173</v>
      </c>
      <c r="C281" s="12" t="s">
        <v>792</v>
      </c>
      <c r="D281" s="12" t="s">
        <v>457</v>
      </c>
      <c r="E281" s="12" t="s">
        <v>804</v>
      </c>
      <c r="F281" s="12" t="s">
        <v>794</v>
      </c>
      <c r="G281" s="55">
        <v>1102</v>
      </c>
      <c r="H281" s="55">
        <v>2977</v>
      </c>
      <c r="I281" s="2" t="b">
        <f t="shared" si="5"/>
        <v>1</v>
      </c>
    </row>
    <row r="282" spans="2:9" x14ac:dyDescent="0.25">
      <c r="B282" s="161">
        <v>41451</v>
      </c>
      <c r="C282" s="12" t="s">
        <v>790</v>
      </c>
      <c r="D282" s="12" t="s">
        <v>652</v>
      </c>
      <c r="E282" s="12" t="s">
        <v>804</v>
      </c>
      <c r="F282" s="12" t="s">
        <v>799</v>
      </c>
      <c r="G282" s="55">
        <v>1523</v>
      </c>
      <c r="H282" s="55">
        <v>3383</v>
      </c>
      <c r="I282" s="2" t="b">
        <f t="shared" si="5"/>
        <v>0</v>
      </c>
    </row>
    <row r="283" spans="2:9" x14ac:dyDescent="0.25">
      <c r="B283" s="161">
        <v>41260</v>
      </c>
      <c r="C283" s="12" t="s">
        <v>802</v>
      </c>
      <c r="D283" s="12" t="s">
        <v>801</v>
      </c>
      <c r="E283" s="12" t="s">
        <v>793</v>
      </c>
      <c r="F283" s="12" t="s">
        <v>791</v>
      </c>
      <c r="G283" s="55">
        <v>760</v>
      </c>
      <c r="H283" s="55">
        <v>1117</v>
      </c>
      <c r="I283" s="2" t="b">
        <f t="shared" si="5"/>
        <v>0</v>
      </c>
    </row>
    <row r="284" spans="2:9" x14ac:dyDescent="0.25">
      <c r="B284" s="161">
        <v>41091</v>
      </c>
      <c r="C284" s="12" t="s">
        <v>805</v>
      </c>
      <c r="D284" s="12" t="s">
        <v>652</v>
      </c>
      <c r="E284" s="12" t="s">
        <v>795</v>
      </c>
      <c r="F284" s="12" t="s">
        <v>794</v>
      </c>
      <c r="G284" s="55">
        <v>106</v>
      </c>
      <c r="H284" s="55">
        <v>285</v>
      </c>
      <c r="I284" s="2" t="b">
        <f t="shared" si="5"/>
        <v>0</v>
      </c>
    </row>
    <row r="285" spans="2:9" x14ac:dyDescent="0.25">
      <c r="B285" s="161">
        <v>41274</v>
      </c>
      <c r="C285" s="12" t="s">
        <v>790</v>
      </c>
      <c r="D285" s="12" t="s">
        <v>801</v>
      </c>
      <c r="E285" s="12" t="s">
        <v>806</v>
      </c>
      <c r="F285" s="12" t="s">
        <v>794</v>
      </c>
      <c r="G285" s="55">
        <v>2965</v>
      </c>
      <c r="H285" s="55">
        <v>5024</v>
      </c>
      <c r="I285" s="2" t="b">
        <f t="shared" si="5"/>
        <v>0</v>
      </c>
    </row>
    <row r="286" spans="2:9" x14ac:dyDescent="0.25">
      <c r="B286" s="161">
        <v>41614</v>
      </c>
      <c r="C286" s="12" t="s">
        <v>792</v>
      </c>
      <c r="D286" s="12" t="s">
        <v>457</v>
      </c>
      <c r="E286" s="12" t="s">
        <v>809</v>
      </c>
      <c r="F286" s="12" t="s">
        <v>794</v>
      </c>
      <c r="G286" s="55">
        <v>1519</v>
      </c>
      <c r="H286" s="55">
        <v>2025</v>
      </c>
      <c r="I286" s="2" t="b">
        <f t="shared" si="5"/>
        <v>1</v>
      </c>
    </row>
    <row r="287" spans="2:9" x14ac:dyDescent="0.25">
      <c r="B287" s="161">
        <v>41494</v>
      </c>
      <c r="C287" s="12" t="s">
        <v>790</v>
      </c>
      <c r="D287" s="12" t="s">
        <v>801</v>
      </c>
      <c r="E287" s="12" t="s">
        <v>800</v>
      </c>
      <c r="F287" s="12" t="s">
        <v>794</v>
      </c>
      <c r="G287" s="55">
        <v>2237</v>
      </c>
      <c r="H287" s="55">
        <v>3792</v>
      </c>
      <c r="I287" s="2" t="b">
        <f t="shared" si="5"/>
        <v>0</v>
      </c>
    </row>
    <row r="288" spans="2:9" x14ac:dyDescent="0.25">
      <c r="B288" s="161">
        <v>41463</v>
      </c>
      <c r="C288" s="12" t="s">
        <v>802</v>
      </c>
      <c r="D288" s="12" t="s">
        <v>797</v>
      </c>
      <c r="E288" s="12" t="s">
        <v>808</v>
      </c>
      <c r="F288" s="12" t="s">
        <v>799</v>
      </c>
      <c r="G288" s="55">
        <v>3710</v>
      </c>
      <c r="H288" s="55">
        <v>4945</v>
      </c>
      <c r="I288" s="2" t="b">
        <f t="shared" si="5"/>
        <v>0</v>
      </c>
    </row>
    <row r="289" spans="2:9" x14ac:dyDescent="0.25">
      <c r="B289" s="161">
        <v>41622</v>
      </c>
      <c r="C289" s="12" t="s">
        <v>790</v>
      </c>
      <c r="D289" s="12" t="s">
        <v>652</v>
      </c>
      <c r="E289" s="12" t="s">
        <v>800</v>
      </c>
      <c r="F289" s="12" t="s">
        <v>799</v>
      </c>
      <c r="G289" s="55">
        <v>5301</v>
      </c>
      <c r="H289" s="55">
        <v>5669</v>
      </c>
      <c r="I289" s="2" t="b">
        <f t="shared" si="5"/>
        <v>0</v>
      </c>
    </row>
    <row r="290" spans="2:9" x14ac:dyDescent="0.25">
      <c r="B290" s="161">
        <v>41396</v>
      </c>
      <c r="C290" s="12" t="s">
        <v>805</v>
      </c>
      <c r="D290" s="12" t="s">
        <v>457</v>
      </c>
      <c r="E290" s="12" t="s">
        <v>808</v>
      </c>
      <c r="F290" s="12" t="s">
        <v>796</v>
      </c>
      <c r="G290" s="55">
        <v>4384</v>
      </c>
      <c r="H290" s="55">
        <v>9744</v>
      </c>
      <c r="I290" s="2" t="b">
        <f t="shared" si="5"/>
        <v>0</v>
      </c>
    </row>
    <row r="291" spans="2:9" x14ac:dyDescent="0.25">
      <c r="B291" s="161">
        <v>41291</v>
      </c>
      <c r="C291" s="12" t="s">
        <v>790</v>
      </c>
      <c r="D291" s="12" t="s">
        <v>457</v>
      </c>
      <c r="E291" s="12" t="s">
        <v>806</v>
      </c>
      <c r="F291" s="12" t="s">
        <v>799</v>
      </c>
      <c r="G291" s="55">
        <v>3120</v>
      </c>
      <c r="H291" s="55">
        <v>3337</v>
      </c>
      <c r="I291" s="2" t="b">
        <f t="shared" si="5"/>
        <v>0</v>
      </c>
    </row>
    <row r="292" spans="2:9" x14ac:dyDescent="0.25">
      <c r="B292" s="161">
        <v>41509</v>
      </c>
      <c r="C292" s="12" t="s">
        <v>802</v>
      </c>
      <c r="D292" s="12" t="s">
        <v>797</v>
      </c>
      <c r="E292" s="12" t="s">
        <v>808</v>
      </c>
      <c r="F292" s="12" t="s">
        <v>794</v>
      </c>
      <c r="G292" s="55">
        <v>4907</v>
      </c>
      <c r="H292" s="55">
        <v>8921</v>
      </c>
      <c r="I292" s="2" t="b">
        <f t="shared" si="5"/>
        <v>0</v>
      </c>
    </row>
    <row r="293" spans="2:9" x14ac:dyDescent="0.25">
      <c r="B293" s="161">
        <v>41399</v>
      </c>
      <c r="C293" s="12" t="s">
        <v>790</v>
      </c>
      <c r="D293" s="12" t="s">
        <v>801</v>
      </c>
      <c r="E293" s="12" t="s">
        <v>800</v>
      </c>
      <c r="F293" s="12" t="s">
        <v>794</v>
      </c>
      <c r="G293" s="55">
        <v>5756</v>
      </c>
      <c r="H293" s="55">
        <v>9754</v>
      </c>
      <c r="I293" s="2" t="b">
        <f t="shared" si="5"/>
        <v>0</v>
      </c>
    </row>
    <row r="294" spans="2:9" x14ac:dyDescent="0.25">
      <c r="B294" s="161">
        <v>41204</v>
      </c>
      <c r="C294" s="12" t="s">
        <v>805</v>
      </c>
      <c r="D294" s="12" t="s">
        <v>457</v>
      </c>
      <c r="E294" s="12" t="s">
        <v>807</v>
      </c>
      <c r="F294" s="12" t="s">
        <v>791</v>
      </c>
      <c r="G294" s="55">
        <v>819</v>
      </c>
      <c r="H294" s="55">
        <v>1205</v>
      </c>
      <c r="I294" s="2" t="b">
        <f t="shared" si="5"/>
        <v>0</v>
      </c>
    </row>
    <row r="295" spans="2:9" x14ac:dyDescent="0.25">
      <c r="B295" s="161">
        <v>41508</v>
      </c>
      <c r="C295" s="12" t="s">
        <v>805</v>
      </c>
      <c r="D295" s="12" t="s">
        <v>801</v>
      </c>
      <c r="E295" s="12" t="s">
        <v>806</v>
      </c>
      <c r="F295" s="12" t="s">
        <v>794</v>
      </c>
      <c r="G295" s="55">
        <v>4443</v>
      </c>
      <c r="H295" s="55">
        <v>5923</v>
      </c>
      <c r="I295" s="2" t="b">
        <f t="shared" si="5"/>
        <v>0</v>
      </c>
    </row>
    <row r="296" spans="2:9" x14ac:dyDescent="0.25">
      <c r="B296" s="161">
        <v>41490</v>
      </c>
      <c r="C296" s="12" t="s">
        <v>805</v>
      </c>
      <c r="D296" s="12" t="s">
        <v>652</v>
      </c>
      <c r="E296" s="12" t="s">
        <v>803</v>
      </c>
      <c r="F296" s="12" t="s">
        <v>799</v>
      </c>
      <c r="G296" s="55">
        <v>4912</v>
      </c>
      <c r="H296" s="55">
        <v>5253</v>
      </c>
      <c r="I296" s="2" t="b">
        <f t="shared" si="5"/>
        <v>0</v>
      </c>
    </row>
    <row r="297" spans="2:9" x14ac:dyDescent="0.25">
      <c r="B297" s="161">
        <v>41580</v>
      </c>
      <c r="C297" s="12" t="s">
        <v>792</v>
      </c>
      <c r="D297" s="12" t="s">
        <v>457</v>
      </c>
      <c r="E297" s="12" t="s">
        <v>806</v>
      </c>
      <c r="F297" s="12" t="s">
        <v>796</v>
      </c>
      <c r="G297" s="55">
        <v>5180</v>
      </c>
      <c r="H297" s="55">
        <v>7619</v>
      </c>
      <c r="I297" s="2" t="b">
        <f t="shared" si="5"/>
        <v>0</v>
      </c>
    </row>
    <row r="298" spans="2:9" x14ac:dyDescent="0.25">
      <c r="B298" s="161">
        <v>41395</v>
      </c>
      <c r="C298" s="12" t="s">
        <v>790</v>
      </c>
      <c r="D298" s="12" t="s">
        <v>457</v>
      </c>
      <c r="E298" s="12" t="s">
        <v>808</v>
      </c>
      <c r="F298" s="12" t="s">
        <v>799</v>
      </c>
      <c r="G298" s="55">
        <v>6822</v>
      </c>
      <c r="H298" s="55">
        <v>9095</v>
      </c>
      <c r="I298" s="2" t="b">
        <f t="shared" si="5"/>
        <v>0</v>
      </c>
    </row>
    <row r="299" spans="2:9" x14ac:dyDescent="0.25">
      <c r="B299" s="161">
        <v>41371</v>
      </c>
      <c r="C299" s="12" t="s">
        <v>790</v>
      </c>
      <c r="D299" s="12" t="s">
        <v>652</v>
      </c>
      <c r="E299" s="12" t="s">
        <v>804</v>
      </c>
      <c r="F299" s="12" t="s">
        <v>799</v>
      </c>
      <c r="G299" s="55">
        <v>4157</v>
      </c>
      <c r="H299" s="55">
        <v>6112</v>
      </c>
      <c r="I299" s="2" t="b">
        <f t="shared" si="5"/>
        <v>0</v>
      </c>
    </row>
    <row r="300" spans="2:9" x14ac:dyDescent="0.25">
      <c r="B300" s="161">
        <v>41270</v>
      </c>
      <c r="C300" s="12" t="s">
        <v>802</v>
      </c>
      <c r="D300" s="12" t="s">
        <v>797</v>
      </c>
      <c r="E300" s="12" t="s">
        <v>807</v>
      </c>
      <c r="F300" s="12" t="s">
        <v>791</v>
      </c>
      <c r="G300" s="55">
        <v>1391</v>
      </c>
      <c r="H300" s="55">
        <v>1488</v>
      </c>
      <c r="I300" s="2" t="b">
        <f t="shared" si="5"/>
        <v>0</v>
      </c>
    </row>
    <row r="301" spans="2:9" x14ac:dyDescent="0.25">
      <c r="B301" s="161">
        <v>41339</v>
      </c>
      <c r="C301" s="12" t="s">
        <v>805</v>
      </c>
      <c r="D301" s="12" t="s">
        <v>457</v>
      </c>
      <c r="E301" s="12" t="s">
        <v>807</v>
      </c>
      <c r="F301" s="12" t="s">
        <v>796</v>
      </c>
      <c r="G301" s="55">
        <v>2357</v>
      </c>
      <c r="H301" s="55">
        <v>4286</v>
      </c>
      <c r="I301" s="2" t="b">
        <f t="shared" si="5"/>
        <v>0</v>
      </c>
    </row>
    <row r="302" spans="2:9" x14ac:dyDescent="0.25">
      <c r="B302" s="161">
        <v>41511</v>
      </c>
      <c r="C302" s="12" t="s">
        <v>790</v>
      </c>
      <c r="D302" s="12" t="s">
        <v>797</v>
      </c>
      <c r="E302" s="12" t="s">
        <v>487</v>
      </c>
      <c r="F302" s="12" t="s">
        <v>794</v>
      </c>
      <c r="G302" s="55">
        <v>668</v>
      </c>
      <c r="H302" s="55">
        <v>1150</v>
      </c>
      <c r="I302" s="2" t="b">
        <f t="shared" si="5"/>
        <v>0</v>
      </c>
    </row>
    <row r="303" spans="2:9" x14ac:dyDescent="0.25">
      <c r="B303" s="161">
        <v>41233</v>
      </c>
      <c r="C303" s="12" t="s">
        <v>792</v>
      </c>
      <c r="D303" s="12" t="s">
        <v>457</v>
      </c>
      <c r="E303" s="12" t="s">
        <v>798</v>
      </c>
      <c r="F303" s="12" t="s">
        <v>794</v>
      </c>
      <c r="G303" s="55">
        <v>1951</v>
      </c>
      <c r="H303" s="55">
        <v>4335</v>
      </c>
      <c r="I303" s="2" t="b">
        <f t="shared" si="5"/>
        <v>1</v>
      </c>
    </row>
    <row r="304" spans="2:9" x14ac:dyDescent="0.25">
      <c r="B304" s="161">
        <v>41154</v>
      </c>
      <c r="C304" s="12" t="s">
        <v>805</v>
      </c>
      <c r="D304" s="12" t="s">
        <v>797</v>
      </c>
      <c r="E304" s="12" t="s">
        <v>807</v>
      </c>
      <c r="F304" s="12" t="s">
        <v>794</v>
      </c>
      <c r="G304" s="55">
        <v>4358</v>
      </c>
      <c r="H304" s="55">
        <v>5810</v>
      </c>
      <c r="I304" s="2" t="b">
        <f t="shared" si="5"/>
        <v>0</v>
      </c>
    </row>
    <row r="305" spans="2:9" x14ac:dyDescent="0.25">
      <c r="B305" s="161">
        <v>41154</v>
      </c>
      <c r="C305" s="12" t="s">
        <v>805</v>
      </c>
      <c r="D305" s="12" t="s">
        <v>457</v>
      </c>
      <c r="E305" s="12" t="s">
        <v>806</v>
      </c>
      <c r="F305" s="12" t="s">
        <v>794</v>
      </c>
      <c r="G305" s="55">
        <v>3980</v>
      </c>
      <c r="H305" s="55">
        <v>5852</v>
      </c>
      <c r="I305" s="2" t="b">
        <f t="shared" si="5"/>
        <v>0</v>
      </c>
    </row>
    <row r="306" spans="2:9" x14ac:dyDescent="0.25">
      <c r="B306" s="161">
        <v>41505</v>
      </c>
      <c r="C306" s="12" t="s">
        <v>790</v>
      </c>
      <c r="D306" s="12" t="s">
        <v>801</v>
      </c>
      <c r="E306" s="12" t="s">
        <v>804</v>
      </c>
      <c r="F306" s="12" t="s">
        <v>796</v>
      </c>
      <c r="G306" s="55">
        <v>4219</v>
      </c>
      <c r="H306" s="55">
        <v>9809</v>
      </c>
      <c r="I306" s="2" t="b">
        <f t="shared" si="5"/>
        <v>0</v>
      </c>
    </row>
    <row r="307" spans="2:9" x14ac:dyDescent="0.25">
      <c r="B307" s="161">
        <v>40969</v>
      </c>
      <c r="C307" s="12" t="s">
        <v>790</v>
      </c>
      <c r="D307" s="12" t="s">
        <v>457</v>
      </c>
      <c r="E307" s="12" t="s">
        <v>793</v>
      </c>
      <c r="F307" s="12" t="s">
        <v>799</v>
      </c>
      <c r="G307" s="55">
        <v>4422</v>
      </c>
      <c r="H307" s="55">
        <v>7495</v>
      </c>
      <c r="I307" s="2" t="b">
        <f t="shared" si="5"/>
        <v>0</v>
      </c>
    </row>
    <row r="308" spans="2:9" x14ac:dyDescent="0.25">
      <c r="B308" s="161">
        <v>41268</v>
      </c>
      <c r="C308" s="12" t="s">
        <v>802</v>
      </c>
      <c r="D308" s="12" t="s">
        <v>652</v>
      </c>
      <c r="E308" s="12" t="s">
        <v>793</v>
      </c>
      <c r="F308" s="12" t="s">
        <v>794</v>
      </c>
      <c r="G308" s="55">
        <v>3666</v>
      </c>
      <c r="H308" s="55">
        <v>8145</v>
      </c>
      <c r="I308" s="2" t="b">
        <f t="shared" si="5"/>
        <v>0</v>
      </c>
    </row>
    <row r="309" spans="2:9" x14ac:dyDescent="0.25">
      <c r="B309" s="161">
        <v>41430</v>
      </c>
      <c r="C309" s="12" t="s">
        <v>802</v>
      </c>
      <c r="D309" s="12" t="s">
        <v>797</v>
      </c>
      <c r="E309" s="12" t="s">
        <v>806</v>
      </c>
      <c r="F309" s="12" t="s">
        <v>796</v>
      </c>
      <c r="G309" s="55">
        <v>246</v>
      </c>
      <c r="H309" s="55">
        <v>573</v>
      </c>
      <c r="I309" s="2" t="b">
        <f t="shared" si="5"/>
        <v>0</v>
      </c>
    </row>
    <row r="310" spans="2:9" x14ac:dyDescent="0.25">
      <c r="B310" s="161">
        <v>41496</v>
      </c>
      <c r="C310" s="12" t="s">
        <v>802</v>
      </c>
      <c r="D310" s="12" t="s">
        <v>652</v>
      </c>
      <c r="E310" s="12" t="s">
        <v>806</v>
      </c>
      <c r="F310" s="12" t="s">
        <v>791</v>
      </c>
      <c r="G310" s="55">
        <v>527</v>
      </c>
      <c r="H310" s="55">
        <v>892</v>
      </c>
      <c r="I310" s="2" t="b">
        <f t="shared" si="5"/>
        <v>0</v>
      </c>
    </row>
    <row r="311" spans="2:9" x14ac:dyDescent="0.25">
      <c r="B311" s="161">
        <v>41248</v>
      </c>
      <c r="C311" s="12" t="s">
        <v>802</v>
      </c>
      <c r="D311" s="12" t="s">
        <v>652</v>
      </c>
      <c r="E311" s="12" t="s">
        <v>793</v>
      </c>
      <c r="F311" s="12" t="s">
        <v>796</v>
      </c>
      <c r="G311" s="55">
        <v>2641</v>
      </c>
      <c r="H311" s="55">
        <v>4801</v>
      </c>
      <c r="I311" s="2" t="b">
        <f t="shared" si="5"/>
        <v>0</v>
      </c>
    </row>
    <row r="312" spans="2:9" x14ac:dyDescent="0.25">
      <c r="B312" s="161">
        <v>41116</v>
      </c>
      <c r="C312" s="12" t="s">
        <v>790</v>
      </c>
      <c r="D312" s="12" t="s">
        <v>797</v>
      </c>
      <c r="E312" s="12" t="s">
        <v>807</v>
      </c>
      <c r="F312" s="12" t="s">
        <v>794</v>
      </c>
      <c r="G312" s="55">
        <v>6051</v>
      </c>
      <c r="H312" s="55">
        <v>8899</v>
      </c>
      <c r="I312" s="2" t="b">
        <f t="shared" si="5"/>
        <v>0</v>
      </c>
    </row>
    <row r="313" spans="2:9" x14ac:dyDescent="0.25">
      <c r="B313" s="161">
        <v>41302</v>
      </c>
      <c r="C313" s="12" t="s">
        <v>792</v>
      </c>
      <c r="D313" s="12" t="s">
        <v>801</v>
      </c>
      <c r="E313" s="12" t="s">
        <v>809</v>
      </c>
      <c r="F313" s="12" t="s">
        <v>791</v>
      </c>
      <c r="G313" s="55">
        <v>3480</v>
      </c>
      <c r="H313" s="55">
        <v>3956</v>
      </c>
      <c r="I313" s="2" t="b">
        <f t="shared" si="5"/>
        <v>0</v>
      </c>
    </row>
    <row r="314" spans="2:9" x14ac:dyDescent="0.25">
      <c r="B314" s="161">
        <v>41571</v>
      </c>
      <c r="C314" s="12" t="s">
        <v>790</v>
      </c>
      <c r="D314" s="12" t="s">
        <v>652</v>
      </c>
      <c r="E314" s="12" t="s">
        <v>800</v>
      </c>
      <c r="F314" s="12" t="s">
        <v>796</v>
      </c>
      <c r="G314" s="55">
        <v>451</v>
      </c>
      <c r="H314" s="55">
        <v>764</v>
      </c>
      <c r="I314" s="2" t="b">
        <f t="shared" si="5"/>
        <v>0</v>
      </c>
    </row>
    <row r="315" spans="2:9" x14ac:dyDescent="0.25">
      <c r="B315" s="161">
        <v>41526</v>
      </c>
      <c r="C315" s="12" t="s">
        <v>802</v>
      </c>
      <c r="D315" s="12" t="s">
        <v>457</v>
      </c>
      <c r="E315" s="12" t="s">
        <v>800</v>
      </c>
      <c r="F315" s="12" t="s">
        <v>799</v>
      </c>
      <c r="G315" s="55">
        <v>4666</v>
      </c>
      <c r="H315" s="55">
        <v>4991</v>
      </c>
      <c r="I315" s="2" t="b">
        <f t="shared" si="5"/>
        <v>0</v>
      </c>
    </row>
    <row r="316" spans="2:9" x14ac:dyDescent="0.25">
      <c r="B316" s="161">
        <v>41578</v>
      </c>
      <c r="C316" s="12" t="s">
        <v>790</v>
      </c>
      <c r="D316" s="12" t="s">
        <v>457</v>
      </c>
      <c r="E316" s="12" t="s">
        <v>806</v>
      </c>
      <c r="F316" s="12" t="s">
        <v>794</v>
      </c>
      <c r="G316" s="55">
        <v>4549</v>
      </c>
      <c r="H316" s="55">
        <v>7711</v>
      </c>
      <c r="I316" s="2" t="b">
        <f t="shared" si="5"/>
        <v>0</v>
      </c>
    </row>
    <row r="317" spans="2:9" x14ac:dyDescent="0.25">
      <c r="B317" s="161">
        <v>41088</v>
      </c>
      <c r="C317" s="12" t="s">
        <v>802</v>
      </c>
      <c r="D317" s="12" t="s">
        <v>457</v>
      </c>
      <c r="E317" s="12" t="s">
        <v>804</v>
      </c>
      <c r="F317" s="12" t="s">
        <v>796</v>
      </c>
      <c r="G317" s="55">
        <v>845</v>
      </c>
      <c r="H317" s="55">
        <v>904</v>
      </c>
      <c r="I317" s="2" t="b">
        <f t="shared" si="5"/>
        <v>0</v>
      </c>
    </row>
    <row r="318" spans="2:9" x14ac:dyDescent="0.25">
      <c r="B318" s="161">
        <v>41117</v>
      </c>
      <c r="C318" s="12" t="s">
        <v>805</v>
      </c>
      <c r="D318" s="12" t="s">
        <v>801</v>
      </c>
      <c r="E318" s="12" t="s">
        <v>487</v>
      </c>
      <c r="F318" s="12" t="s">
        <v>791</v>
      </c>
      <c r="G318" s="55">
        <v>5353</v>
      </c>
      <c r="H318" s="55">
        <v>6083</v>
      </c>
      <c r="I318" s="2" t="b">
        <f t="shared" si="5"/>
        <v>0</v>
      </c>
    </row>
    <row r="319" spans="2:9" x14ac:dyDescent="0.25">
      <c r="B319" s="161">
        <v>41061</v>
      </c>
      <c r="C319" s="12" t="s">
        <v>790</v>
      </c>
      <c r="D319" s="12" t="s">
        <v>797</v>
      </c>
      <c r="E319" s="12" t="s">
        <v>795</v>
      </c>
      <c r="F319" s="12" t="s">
        <v>799</v>
      </c>
      <c r="G319" s="55">
        <v>1207</v>
      </c>
      <c r="H319" s="55">
        <v>1773</v>
      </c>
      <c r="I319" s="2" t="b">
        <f t="shared" si="5"/>
        <v>0</v>
      </c>
    </row>
    <row r="320" spans="2:9" x14ac:dyDescent="0.25">
      <c r="B320" s="161">
        <v>40966</v>
      </c>
      <c r="C320" s="12" t="s">
        <v>790</v>
      </c>
      <c r="D320" s="12" t="s">
        <v>457</v>
      </c>
      <c r="E320" s="12" t="s">
        <v>800</v>
      </c>
      <c r="F320" s="12" t="s">
        <v>791</v>
      </c>
      <c r="G320" s="55">
        <v>2790</v>
      </c>
      <c r="H320" s="55">
        <v>6201</v>
      </c>
      <c r="I320" s="2" t="b">
        <f t="shared" si="5"/>
        <v>0</v>
      </c>
    </row>
    <row r="321" spans="2:9" x14ac:dyDescent="0.25">
      <c r="B321" s="161">
        <v>41391</v>
      </c>
      <c r="C321" s="12" t="s">
        <v>805</v>
      </c>
      <c r="D321" s="12" t="s">
        <v>797</v>
      </c>
      <c r="E321" s="12" t="s">
        <v>607</v>
      </c>
      <c r="F321" s="12" t="s">
        <v>796</v>
      </c>
      <c r="G321" s="55">
        <v>1188</v>
      </c>
      <c r="H321" s="55">
        <v>2760</v>
      </c>
      <c r="I321" s="2" t="b">
        <f t="shared" si="5"/>
        <v>0</v>
      </c>
    </row>
    <row r="322" spans="2:9" x14ac:dyDescent="0.25">
      <c r="B322" s="161">
        <v>41134</v>
      </c>
      <c r="C322" s="12" t="s">
        <v>802</v>
      </c>
      <c r="D322" s="12" t="s">
        <v>801</v>
      </c>
      <c r="E322" s="12" t="s">
        <v>809</v>
      </c>
      <c r="F322" s="12" t="s">
        <v>794</v>
      </c>
      <c r="G322" s="55">
        <v>8446</v>
      </c>
      <c r="H322" s="55">
        <v>9598</v>
      </c>
      <c r="I322" s="2" t="b">
        <f t="shared" si="5"/>
        <v>0</v>
      </c>
    </row>
    <row r="323" spans="2:9" x14ac:dyDescent="0.25">
      <c r="B323" s="161">
        <v>40983</v>
      </c>
      <c r="C323" s="12" t="s">
        <v>802</v>
      </c>
      <c r="D323" s="12" t="s">
        <v>457</v>
      </c>
      <c r="E323" s="12" t="s">
        <v>798</v>
      </c>
      <c r="F323" s="12" t="s">
        <v>799</v>
      </c>
      <c r="G323" s="55">
        <v>3493</v>
      </c>
      <c r="H323" s="55">
        <v>8121</v>
      </c>
      <c r="I323" s="2" t="b">
        <f t="shared" si="5"/>
        <v>0</v>
      </c>
    </row>
    <row r="324" spans="2:9" x14ac:dyDescent="0.25">
      <c r="B324" s="161">
        <v>40985</v>
      </c>
      <c r="C324" s="12" t="s">
        <v>805</v>
      </c>
      <c r="D324" s="12" t="s">
        <v>797</v>
      </c>
      <c r="E324" s="12" t="s">
        <v>807</v>
      </c>
      <c r="F324" s="12" t="s">
        <v>799</v>
      </c>
      <c r="G324" s="55">
        <v>3308</v>
      </c>
      <c r="H324" s="55">
        <v>8942</v>
      </c>
      <c r="I324" s="2" t="b">
        <f t="shared" si="5"/>
        <v>0</v>
      </c>
    </row>
    <row r="325" spans="2:9" x14ac:dyDescent="0.25">
      <c r="B325" s="161">
        <v>41236</v>
      </c>
      <c r="C325" s="12" t="s">
        <v>802</v>
      </c>
      <c r="D325" s="12" t="s">
        <v>652</v>
      </c>
      <c r="E325" s="12" t="s">
        <v>807</v>
      </c>
      <c r="F325" s="12" t="s">
        <v>791</v>
      </c>
      <c r="G325" s="55">
        <v>683</v>
      </c>
      <c r="H325" s="55">
        <v>1240</v>
      </c>
      <c r="I325" s="2" t="b">
        <f t="shared" si="5"/>
        <v>0</v>
      </c>
    </row>
    <row r="326" spans="2:9" x14ac:dyDescent="0.25">
      <c r="B326" s="161">
        <v>41299</v>
      </c>
      <c r="C326" s="12" t="s">
        <v>792</v>
      </c>
      <c r="D326" s="12" t="s">
        <v>797</v>
      </c>
      <c r="E326" s="12" t="s">
        <v>607</v>
      </c>
      <c r="F326" s="12" t="s">
        <v>794</v>
      </c>
      <c r="G326" s="55">
        <v>5004</v>
      </c>
      <c r="H326" s="55">
        <v>6671</v>
      </c>
      <c r="I326" s="2" t="b">
        <f t="shared" si="5"/>
        <v>0</v>
      </c>
    </row>
    <row r="327" spans="2:9" x14ac:dyDescent="0.25">
      <c r="B327" s="161">
        <v>41275</v>
      </c>
      <c r="C327" s="12" t="s">
        <v>805</v>
      </c>
      <c r="D327" s="12" t="s">
        <v>797</v>
      </c>
      <c r="E327" s="12" t="s">
        <v>804</v>
      </c>
      <c r="F327" s="12" t="s">
        <v>796</v>
      </c>
      <c r="G327" s="55">
        <v>1450</v>
      </c>
      <c r="H327" s="55">
        <v>2636</v>
      </c>
      <c r="I327" s="2" t="b">
        <f t="shared" ref="I327:I390" si="6">AND($K$9=C327,$L$9=D327,$M$9=F327)</f>
        <v>0</v>
      </c>
    </row>
    <row r="328" spans="2:9" x14ac:dyDescent="0.25">
      <c r="B328" s="161">
        <v>41123</v>
      </c>
      <c r="C328" s="12" t="s">
        <v>805</v>
      </c>
      <c r="D328" s="12" t="s">
        <v>457</v>
      </c>
      <c r="E328" s="12" t="s">
        <v>793</v>
      </c>
      <c r="F328" s="12" t="s">
        <v>796</v>
      </c>
      <c r="G328" s="55">
        <v>3697</v>
      </c>
      <c r="H328" s="55">
        <v>9990</v>
      </c>
      <c r="I328" s="2" t="b">
        <f t="shared" si="6"/>
        <v>0</v>
      </c>
    </row>
    <row r="329" spans="2:9" x14ac:dyDescent="0.25">
      <c r="B329" s="161">
        <v>41585</v>
      </c>
      <c r="C329" s="12" t="s">
        <v>802</v>
      </c>
      <c r="D329" s="12" t="s">
        <v>457</v>
      </c>
      <c r="E329" s="12" t="s">
        <v>487</v>
      </c>
      <c r="F329" s="12" t="s">
        <v>794</v>
      </c>
      <c r="G329" s="55">
        <v>3407</v>
      </c>
      <c r="H329" s="55">
        <v>6196</v>
      </c>
      <c r="I329" s="2" t="b">
        <f t="shared" si="6"/>
        <v>0</v>
      </c>
    </row>
    <row r="330" spans="2:9" x14ac:dyDescent="0.25">
      <c r="B330" s="161">
        <v>41260</v>
      </c>
      <c r="C330" s="12" t="s">
        <v>790</v>
      </c>
      <c r="D330" s="12" t="s">
        <v>797</v>
      </c>
      <c r="E330" s="12" t="s">
        <v>798</v>
      </c>
      <c r="F330" s="12" t="s">
        <v>796</v>
      </c>
      <c r="G330" s="55">
        <v>4086</v>
      </c>
      <c r="H330" s="55">
        <v>9079</v>
      </c>
      <c r="I330" s="2" t="b">
        <f t="shared" si="6"/>
        <v>0</v>
      </c>
    </row>
    <row r="331" spans="2:9" x14ac:dyDescent="0.25">
      <c r="B331" s="161">
        <v>41210</v>
      </c>
      <c r="C331" s="12" t="s">
        <v>790</v>
      </c>
      <c r="D331" s="12" t="s">
        <v>457</v>
      </c>
      <c r="E331" s="12" t="s">
        <v>607</v>
      </c>
      <c r="F331" s="12" t="s">
        <v>794</v>
      </c>
      <c r="G331" s="55">
        <v>4706</v>
      </c>
      <c r="H331" s="55">
        <v>6274</v>
      </c>
      <c r="I331" s="2" t="b">
        <f t="shared" si="6"/>
        <v>0</v>
      </c>
    </row>
    <row r="332" spans="2:9" x14ac:dyDescent="0.25">
      <c r="B332" s="161">
        <v>40930</v>
      </c>
      <c r="C332" s="12" t="s">
        <v>805</v>
      </c>
      <c r="D332" s="12" t="s">
        <v>652</v>
      </c>
      <c r="E332" s="12" t="s">
        <v>795</v>
      </c>
      <c r="F332" s="12" t="s">
        <v>791</v>
      </c>
      <c r="G332" s="55">
        <v>1737</v>
      </c>
      <c r="H332" s="55">
        <v>1856</v>
      </c>
      <c r="I332" s="2" t="b">
        <f t="shared" si="6"/>
        <v>0</v>
      </c>
    </row>
    <row r="333" spans="2:9" x14ac:dyDescent="0.25">
      <c r="B333" s="161">
        <v>41499</v>
      </c>
      <c r="C333" s="12" t="s">
        <v>802</v>
      </c>
      <c r="D333" s="12" t="s">
        <v>652</v>
      </c>
      <c r="E333" s="12" t="s">
        <v>487</v>
      </c>
      <c r="F333" s="12" t="s">
        <v>794</v>
      </c>
      <c r="G333" s="55">
        <v>2645</v>
      </c>
      <c r="H333" s="55">
        <v>5878</v>
      </c>
      <c r="I333" s="2" t="b">
        <f t="shared" si="6"/>
        <v>0</v>
      </c>
    </row>
    <row r="334" spans="2:9" x14ac:dyDescent="0.25">
      <c r="B334" s="161">
        <v>41626</v>
      </c>
      <c r="C334" s="12" t="s">
        <v>805</v>
      </c>
      <c r="D334" s="12" t="s">
        <v>801</v>
      </c>
      <c r="E334" s="12" t="s">
        <v>487</v>
      </c>
      <c r="F334" s="12" t="s">
        <v>794</v>
      </c>
      <c r="G334" s="55">
        <v>114</v>
      </c>
      <c r="H334" s="55">
        <v>255</v>
      </c>
      <c r="I334" s="2" t="b">
        <f t="shared" si="6"/>
        <v>0</v>
      </c>
    </row>
    <row r="335" spans="2:9" x14ac:dyDescent="0.25">
      <c r="B335" s="161">
        <v>41614</v>
      </c>
      <c r="C335" s="12" t="s">
        <v>790</v>
      </c>
      <c r="D335" s="12" t="s">
        <v>457</v>
      </c>
      <c r="E335" s="12" t="s">
        <v>806</v>
      </c>
      <c r="F335" s="12" t="s">
        <v>791</v>
      </c>
      <c r="G335" s="55">
        <v>55</v>
      </c>
      <c r="H335" s="55">
        <v>126</v>
      </c>
      <c r="I335" s="2" t="b">
        <f t="shared" si="6"/>
        <v>0</v>
      </c>
    </row>
    <row r="336" spans="2:9" x14ac:dyDescent="0.25">
      <c r="B336" s="161">
        <v>41552</v>
      </c>
      <c r="C336" s="12" t="s">
        <v>790</v>
      </c>
      <c r="D336" s="12" t="s">
        <v>652</v>
      </c>
      <c r="E336" s="12" t="s">
        <v>793</v>
      </c>
      <c r="F336" s="12" t="s">
        <v>799</v>
      </c>
      <c r="G336" s="55">
        <v>1365</v>
      </c>
      <c r="H336" s="55">
        <v>1552</v>
      </c>
      <c r="I336" s="2" t="b">
        <f t="shared" si="6"/>
        <v>0</v>
      </c>
    </row>
    <row r="337" spans="2:9" x14ac:dyDescent="0.25">
      <c r="B337" s="161">
        <v>40920</v>
      </c>
      <c r="C337" s="12" t="s">
        <v>805</v>
      </c>
      <c r="D337" s="12" t="s">
        <v>457</v>
      </c>
      <c r="E337" s="12" t="s">
        <v>795</v>
      </c>
      <c r="F337" s="12" t="s">
        <v>796</v>
      </c>
      <c r="G337" s="55">
        <v>6621</v>
      </c>
      <c r="H337" s="55">
        <v>9735</v>
      </c>
      <c r="I337" s="2" t="b">
        <f t="shared" si="6"/>
        <v>0</v>
      </c>
    </row>
    <row r="338" spans="2:9" x14ac:dyDescent="0.25">
      <c r="B338" s="161">
        <v>41518</v>
      </c>
      <c r="C338" s="12" t="s">
        <v>805</v>
      </c>
      <c r="D338" s="12" t="s">
        <v>457</v>
      </c>
      <c r="E338" s="12" t="s">
        <v>803</v>
      </c>
      <c r="F338" s="12" t="s">
        <v>791</v>
      </c>
      <c r="G338" s="55">
        <v>7327</v>
      </c>
      <c r="H338" s="55">
        <v>9769</v>
      </c>
      <c r="I338" s="2" t="b">
        <f t="shared" si="6"/>
        <v>0</v>
      </c>
    </row>
    <row r="339" spans="2:9" x14ac:dyDescent="0.25">
      <c r="B339" s="161">
        <v>41108</v>
      </c>
      <c r="C339" s="12" t="s">
        <v>802</v>
      </c>
      <c r="D339" s="12" t="s">
        <v>652</v>
      </c>
      <c r="E339" s="12" t="s">
        <v>607</v>
      </c>
      <c r="F339" s="12" t="s">
        <v>799</v>
      </c>
      <c r="G339" s="55">
        <v>4447</v>
      </c>
      <c r="H339" s="55">
        <v>7666</v>
      </c>
      <c r="I339" s="2" t="b">
        <f t="shared" si="6"/>
        <v>0</v>
      </c>
    </row>
    <row r="340" spans="2:9" x14ac:dyDescent="0.25">
      <c r="B340" s="161">
        <v>41271</v>
      </c>
      <c r="C340" s="12" t="s">
        <v>802</v>
      </c>
      <c r="D340" s="12" t="s">
        <v>801</v>
      </c>
      <c r="E340" s="12" t="s">
        <v>793</v>
      </c>
      <c r="F340" s="12" t="s">
        <v>799</v>
      </c>
      <c r="G340" s="55">
        <v>3623</v>
      </c>
      <c r="H340" s="55">
        <v>9790</v>
      </c>
      <c r="I340" s="2" t="b">
        <f t="shared" si="6"/>
        <v>0</v>
      </c>
    </row>
    <row r="341" spans="2:9" x14ac:dyDescent="0.25">
      <c r="B341" s="161">
        <v>40934</v>
      </c>
      <c r="C341" s="12" t="s">
        <v>790</v>
      </c>
      <c r="D341" s="12" t="s">
        <v>457</v>
      </c>
      <c r="E341" s="12" t="s">
        <v>804</v>
      </c>
      <c r="F341" s="12" t="s">
        <v>796</v>
      </c>
      <c r="G341" s="55">
        <v>918</v>
      </c>
      <c r="H341" s="55">
        <v>1222</v>
      </c>
      <c r="I341" s="2" t="b">
        <f t="shared" si="6"/>
        <v>0</v>
      </c>
    </row>
    <row r="342" spans="2:9" x14ac:dyDescent="0.25">
      <c r="B342" s="161">
        <v>41624</v>
      </c>
      <c r="C342" s="12" t="s">
        <v>792</v>
      </c>
      <c r="D342" s="12" t="s">
        <v>797</v>
      </c>
      <c r="E342" s="12" t="s">
        <v>795</v>
      </c>
      <c r="F342" s="12" t="s">
        <v>796</v>
      </c>
      <c r="G342" s="55">
        <v>4147</v>
      </c>
      <c r="H342" s="55">
        <v>7027</v>
      </c>
      <c r="I342" s="2" t="b">
        <f t="shared" si="6"/>
        <v>0</v>
      </c>
    </row>
    <row r="343" spans="2:9" x14ac:dyDescent="0.25">
      <c r="B343" s="161">
        <v>41087</v>
      </c>
      <c r="C343" s="12" t="s">
        <v>805</v>
      </c>
      <c r="D343" s="12" t="s">
        <v>797</v>
      </c>
      <c r="E343" s="12" t="s">
        <v>807</v>
      </c>
      <c r="F343" s="12" t="s">
        <v>799</v>
      </c>
      <c r="G343" s="55">
        <v>1075</v>
      </c>
      <c r="H343" s="55">
        <v>2906</v>
      </c>
      <c r="I343" s="2" t="b">
        <f t="shared" si="6"/>
        <v>0</v>
      </c>
    </row>
    <row r="344" spans="2:9" x14ac:dyDescent="0.25">
      <c r="B344" s="161">
        <v>41628</v>
      </c>
      <c r="C344" s="12" t="s">
        <v>790</v>
      </c>
      <c r="D344" s="12" t="s">
        <v>801</v>
      </c>
      <c r="E344" s="12" t="s">
        <v>804</v>
      </c>
      <c r="F344" s="12" t="s">
        <v>796</v>
      </c>
      <c r="G344" s="55">
        <v>2213</v>
      </c>
      <c r="H344" s="55">
        <v>5146</v>
      </c>
      <c r="I344" s="2" t="b">
        <f t="shared" si="6"/>
        <v>0</v>
      </c>
    </row>
    <row r="345" spans="2:9" x14ac:dyDescent="0.25">
      <c r="B345" s="161">
        <v>41595</v>
      </c>
      <c r="C345" s="12" t="s">
        <v>792</v>
      </c>
      <c r="D345" s="12" t="s">
        <v>652</v>
      </c>
      <c r="E345" s="12" t="s">
        <v>809</v>
      </c>
      <c r="F345" s="12" t="s">
        <v>799</v>
      </c>
      <c r="G345" s="55">
        <v>4278</v>
      </c>
      <c r="H345" s="55">
        <v>9947</v>
      </c>
      <c r="I345" s="2" t="b">
        <f t="shared" si="6"/>
        <v>0</v>
      </c>
    </row>
    <row r="346" spans="2:9" x14ac:dyDescent="0.25">
      <c r="B346" s="161">
        <v>41574</v>
      </c>
      <c r="C346" s="12" t="s">
        <v>805</v>
      </c>
      <c r="D346" s="12" t="s">
        <v>457</v>
      </c>
      <c r="E346" s="12" t="s">
        <v>804</v>
      </c>
      <c r="F346" s="12" t="s">
        <v>799</v>
      </c>
      <c r="G346" s="55">
        <v>6350</v>
      </c>
      <c r="H346" s="55">
        <v>7215</v>
      </c>
      <c r="I346" s="2" t="b">
        <f t="shared" si="6"/>
        <v>0</v>
      </c>
    </row>
    <row r="347" spans="2:9" x14ac:dyDescent="0.25">
      <c r="B347" s="161">
        <v>41019</v>
      </c>
      <c r="C347" s="12" t="s">
        <v>792</v>
      </c>
      <c r="D347" s="12" t="s">
        <v>801</v>
      </c>
      <c r="E347" s="12" t="s">
        <v>807</v>
      </c>
      <c r="F347" s="12" t="s">
        <v>796</v>
      </c>
      <c r="G347" s="55">
        <v>5718</v>
      </c>
      <c r="H347" s="55">
        <v>9692</v>
      </c>
      <c r="I347" s="2" t="b">
        <f t="shared" si="6"/>
        <v>0</v>
      </c>
    </row>
    <row r="348" spans="2:9" x14ac:dyDescent="0.25">
      <c r="B348" s="161">
        <v>41511</v>
      </c>
      <c r="C348" s="12" t="s">
        <v>805</v>
      </c>
      <c r="D348" s="12" t="s">
        <v>797</v>
      </c>
      <c r="E348" s="12" t="s">
        <v>798</v>
      </c>
      <c r="F348" s="12" t="s">
        <v>796</v>
      </c>
      <c r="G348" s="55">
        <v>2638</v>
      </c>
      <c r="H348" s="55">
        <v>2821</v>
      </c>
      <c r="I348" s="2" t="b">
        <f t="shared" si="6"/>
        <v>0</v>
      </c>
    </row>
    <row r="349" spans="2:9" x14ac:dyDescent="0.25">
      <c r="B349" s="161">
        <v>41612</v>
      </c>
      <c r="C349" s="12" t="s">
        <v>790</v>
      </c>
      <c r="D349" s="12" t="s">
        <v>801</v>
      </c>
      <c r="E349" s="12" t="s">
        <v>607</v>
      </c>
      <c r="F349" s="12" t="s">
        <v>799</v>
      </c>
      <c r="G349" s="55">
        <v>1981</v>
      </c>
      <c r="H349" s="55">
        <v>2641</v>
      </c>
      <c r="I349" s="2" t="b">
        <f t="shared" si="6"/>
        <v>0</v>
      </c>
    </row>
    <row r="350" spans="2:9" x14ac:dyDescent="0.25">
      <c r="B350" s="161">
        <v>41003</v>
      </c>
      <c r="C350" s="12" t="s">
        <v>802</v>
      </c>
      <c r="D350" s="12" t="s">
        <v>801</v>
      </c>
      <c r="E350" s="12" t="s">
        <v>800</v>
      </c>
      <c r="F350" s="12" t="s">
        <v>796</v>
      </c>
      <c r="G350" s="55">
        <v>1456</v>
      </c>
      <c r="H350" s="55">
        <v>2645</v>
      </c>
      <c r="I350" s="2" t="b">
        <f t="shared" si="6"/>
        <v>0</v>
      </c>
    </row>
    <row r="351" spans="2:9" x14ac:dyDescent="0.25">
      <c r="B351" s="161">
        <v>41003</v>
      </c>
      <c r="C351" s="12" t="s">
        <v>792</v>
      </c>
      <c r="D351" s="12" t="s">
        <v>797</v>
      </c>
      <c r="E351" s="12" t="s">
        <v>807</v>
      </c>
      <c r="F351" s="12" t="s">
        <v>794</v>
      </c>
      <c r="G351" s="55">
        <v>1071</v>
      </c>
      <c r="H351" s="55">
        <v>1816</v>
      </c>
      <c r="I351" s="2" t="b">
        <f t="shared" si="6"/>
        <v>0</v>
      </c>
    </row>
    <row r="352" spans="2:9" x14ac:dyDescent="0.25">
      <c r="B352" s="161">
        <v>41414</v>
      </c>
      <c r="C352" s="12" t="s">
        <v>790</v>
      </c>
      <c r="D352" s="12" t="s">
        <v>801</v>
      </c>
      <c r="E352" s="12" t="s">
        <v>807</v>
      </c>
      <c r="F352" s="12" t="s">
        <v>796</v>
      </c>
      <c r="G352" s="55">
        <v>3267</v>
      </c>
      <c r="H352" s="55">
        <v>3713</v>
      </c>
      <c r="I352" s="2" t="b">
        <f t="shared" si="6"/>
        <v>0</v>
      </c>
    </row>
    <row r="353" spans="2:9" x14ac:dyDescent="0.25">
      <c r="B353" s="161">
        <v>41176</v>
      </c>
      <c r="C353" s="12" t="s">
        <v>792</v>
      </c>
      <c r="D353" s="12" t="s">
        <v>797</v>
      </c>
      <c r="E353" s="12" t="s">
        <v>809</v>
      </c>
      <c r="F353" s="12" t="s">
        <v>796</v>
      </c>
      <c r="G353" s="55">
        <v>6160</v>
      </c>
      <c r="H353" s="55">
        <v>9057</v>
      </c>
      <c r="I353" s="2" t="b">
        <f t="shared" si="6"/>
        <v>0</v>
      </c>
    </row>
    <row r="354" spans="2:9" x14ac:dyDescent="0.25">
      <c r="B354" s="161">
        <v>41561</v>
      </c>
      <c r="C354" s="12" t="s">
        <v>792</v>
      </c>
      <c r="D354" s="12" t="s">
        <v>457</v>
      </c>
      <c r="E354" s="12" t="s">
        <v>806</v>
      </c>
      <c r="F354" s="12" t="s">
        <v>799</v>
      </c>
      <c r="G354" s="55">
        <v>2318</v>
      </c>
      <c r="H354" s="55">
        <v>3408</v>
      </c>
      <c r="I354" s="2" t="b">
        <f t="shared" si="6"/>
        <v>0</v>
      </c>
    </row>
    <row r="355" spans="2:9" x14ac:dyDescent="0.25">
      <c r="B355" s="161">
        <v>41622</v>
      </c>
      <c r="C355" s="12" t="s">
        <v>792</v>
      </c>
      <c r="D355" s="12" t="s">
        <v>797</v>
      </c>
      <c r="E355" s="12" t="s">
        <v>487</v>
      </c>
      <c r="F355" s="12" t="s">
        <v>791</v>
      </c>
      <c r="G355" s="55">
        <v>2048</v>
      </c>
      <c r="H355" s="55">
        <v>4548</v>
      </c>
      <c r="I355" s="2" t="b">
        <f t="shared" si="6"/>
        <v>0</v>
      </c>
    </row>
    <row r="356" spans="2:9" x14ac:dyDescent="0.25">
      <c r="B356" s="161">
        <v>41531</v>
      </c>
      <c r="C356" s="12" t="s">
        <v>790</v>
      </c>
      <c r="D356" s="12" t="s">
        <v>652</v>
      </c>
      <c r="E356" s="12" t="s">
        <v>809</v>
      </c>
      <c r="F356" s="12" t="s">
        <v>794</v>
      </c>
      <c r="G356" s="55">
        <v>3608</v>
      </c>
      <c r="H356" s="55">
        <v>6560</v>
      </c>
      <c r="I356" s="2" t="b">
        <f t="shared" si="6"/>
        <v>0</v>
      </c>
    </row>
    <row r="357" spans="2:9" x14ac:dyDescent="0.25">
      <c r="B357" s="161">
        <v>40963</v>
      </c>
      <c r="C357" s="12" t="s">
        <v>802</v>
      </c>
      <c r="D357" s="12" t="s">
        <v>801</v>
      </c>
      <c r="E357" s="12" t="s">
        <v>798</v>
      </c>
      <c r="F357" s="12" t="s">
        <v>791</v>
      </c>
      <c r="G357" s="55">
        <v>655</v>
      </c>
      <c r="H357" s="55">
        <v>1191</v>
      </c>
      <c r="I357" s="2" t="b">
        <f t="shared" si="6"/>
        <v>0</v>
      </c>
    </row>
    <row r="358" spans="2:9" x14ac:dyDescent="0.25">
      <c r="B358" s="161">
        <v>41298</v>
      </c>
      <c r="C358" s="12" t="s">
        <v>790</v>
      </c>
      <c r="D358" s="12" t="s">
        <v>801</v>
      </c>
      <c r="E358" s="12" t="s">
        <v>798</v>
      </c>
      <c r="F358" s="12" t="s">
        <v>796</v>
      </c>
      <c r="G358" s="55">
        <v>8340</v>
      </c>
      <c r="H358" s="55">
        <v>9478</v>
      </c>
      <c r="I358" s="2" t="b">
        <f t="shared" si="6"/>
        <v>0</v>
      </c>
    </row>
    <row r="359" spans="2:9" x14ac:dyDescent="0.25">
      <c r="B359" s="161">
        <v>41359</v>
      </c>
      <c r="C359" s="12" t="s">
        <v>792</v>
      </c>
      <c r="D359" s="12" t="s">
        <v>457</v>
      </c>
      <c r="E359" s="12" t="s">
        <v>487</v>
      </c>
      <c r="F359" s="12" t="s">
        <v>791</v>
      </c>
      <c r="G359" s="55">
        <v>1858</v>
      </c>
      <c r="H359" s="55">
        <v>3202</v>
      </c>
      <c r="I359" s="2" t="b">
        <f t="shared" si="6"/>
        <v>0</v>
      </c>
    </row>
    <row r="360" spans="2:9" x14ac:dyDescent="0.25">
      <c r="B360" s="161">
        <v>41549</v>
      </c>
      <c r="C360" s="12" t="s">
        <v>805</v>
      </c>
      <c r="D360" s="12" t="s">
        <v>457</v>
      </c>
      <c r="E360" s="12" t="s">
        <v>795</v>
      </c>
      <c r="F360" s="12" t="s">
        <v>794</v>
      </c>
      <c r="G360" s="55">
        <v>7832</v>
      </c>
      <c r="H360" s="55">
        <v>8901</v>
      </c>
      <c r="I360" s="2" t="b">
        <f t="shared" si="6"/>
        <v>0</v>
      </c>
    </row>
    <row r="361" spans="2:9" x14ac:dyDescent="0.25">
      <c r="B361" s="161">
        <v>41489</v>
      </c>
      <c r="C361" s="12" t="s">
        <v>792</v>
      </c>
      <c r="D361" s="12" t="s">
        <v>652</v>
      </c>
      <c r="E361" s="12" t="s">
        <v>803</v>
      </c>
      <c r="F361" s="12" t="s">
        <v>796</v>
      </c>
      <c r="G361" s="55">
        <v>2838</v>
      </c>
      <c r="H361" s="55">
        <v>4894</v>
      </c>
      <c r="I361" s="2" t="b">
        <f t="shared" si="6"/>
        <v>0</v>
      </c>
    </row>
    <row r="362" spans="2:9" x14ac:dyDescent="0.25">
      <c r="B362" s="161">
        <v>41411</v>
      </c>
      <c r="C362" s="12" t="s">
        <v>802</v>
      </c>
      <c r="D362" s="12" t="s">
        <v>801</v>
      </c>
      <c r="E362" s="12" t="s">
        <v>809</v>
      </c>
      <c r="F362" s="12" t="s">
        <v>799</v>
      </c>
      <c r="G362" s="55">
        <v>1125</v>
      </c>
      <c r="H362" s="55">
        <v>1202</v>
      </c>
      <c r="I362" s="2" t="b">
        <f t="shared" si="6"/>
        <v>0</v>
      </c>
    </row>
    <row r="363" spans="2:9" x14ac:dyDescent="0.25">
      <c r="B363" s="161">
        <v>41047</v>
      </c>
      <c r="C363" s="12" t="s">
        <v>802</v>
      </c>
      <c r="D363" s="12" t="s">
        <v>652</v>
      </c>
      <c r="E363" s="12" t="s">
        <v>795</v>
      </c>
      <c r="F363" s="12" t="s">
        <v>791</v>
      </c>
      <c r="G363" s="55">
        <v>406</v>
      </c>
      <c r="H363" s="55">
        <v>739</v>
      </c>
      <c r="I363" s="2" t="b">
        <f t="shared" si="6"/>
        <v>0</v>
      </c>
    </row>
    <row r="364" spans="2:9" x14ac:dyDescent="0.25">
      <c r="B364" s="161">
        <v>41137</v>
      </c>
      <c r="C364" s="12" t="s">
        <v>792</v>
      </c>
      <c r="D364" s="12" t="s">
        <v>652</v>
      </c>
      <c r="E364" s="12" t="s">
        <v>798</v>
      </c>
      <c r="F364" s="12" t="s">
        <v>799</v>
      </c>
      <c r="G364" s="55">
        <v>2645</v>
      </c>
      <c r="H364" s="55">
        <v>2830</v>
      </c>
      <c r="I364" s="2" t="b">
        <f t="shared" si="6"/>
        <v>0</v>
      </c>
    </row>
    <row r="365" spans="2:9" x14ac:dyDescent="0.25">
      <c r="B365" s="161">
        <v>40929</v>
      </c>
      <c r="C365" s="12" t="s">
        <v>805</v>
      </c>
      <c r="D365" s="12" t="s">
        <v>652</v>
      </c>
      <c r="E365" s="12" t="s">
        <v>809</v>
      </c>
      <c r="F365" s="12" t="s">
        <v>796</v>
      </c>
      <c r="G365" s="55">
        <v>1439</v>
      </c>
      <c r="H365" s="55">
        <v>2616</v>
      </c>
      <c r="I365" s="2" t="b">
        <f t="shared" si="6"/>
        <v>0</v>
      </c>
    </row>
    <row r="366" spans="2:9" x14ac:dyDescent="0.25">
      <c r="B366" s="161">
        <v>41084</v>
      </c>
      <c r="C366" s="12" t="s">
        <v>790</v>
      </c>
      <c r="D366" s="12" t="s">
        <v>652</v>
      </c>
      <c r="E366" s="12" t="s">
        <v>803</v>
      </c>
      <c r="F366" s="12" t="s">
        <v>791</v>
      </c>
      <c r="G366" s="55">
        <v>557</v>
      </c>
      <c r="H366" s="55">
        <v>943</v>
      </c>
      <c r="I366" s="2" t="b">
        <f t="shared" si="6"/>
        <v>0</v>
      </c>
    </row>
    <row r="367" spans="2:9" x14ac:dyDescent="0.25">
      <c r="B367" s="161">
        <v>41556</v>
      </c>
      <c r="C367" s="12" t="s">
        <v>790</v>
      </c>
      <c r="D367" s="12" t="s">
        <v>457</v>
      </c>
      <c r="E367" s="12" t="s">
        <v>804</v>
      </c>
      <c r="F367" s="12" t="s">
        <v>791</v>
      </c>
      <c r="G367" s="55">
        <v>375</v>
      </c>
      <c r="H367" s="55">
        <v>499</v>
      </c>
      <c r="I367" s="2" t="b">
        <f t="shared" si="6"/>
        <v>0</v>
      </c>
    </row>
    <row r="368" spans="2:9" x14ac:dyDescent="0.25">
      <c r="B368" s="161">
        <v>41294</v>
      </c>
      <c r="C368" s="12" t="s">
        <v>792</v>
      </c>
      <c r="D368" s="12" t="s">
        <v>801</v>
      </c>
      <c r="E368" s="12" t="s">
        <v>800</v>
      </c>
      <c r="F368" s="12" t="s">
        <v>799</v>
      </c>
      <c r="G368" s="55">
        <v>5095</v>
      </c>
      <c r="H368" s="55">
        <v>6794</v>
      </c>
      <c r="I368" s="2" t="b">
        <f t="shared" si="6"/>
        <v>0</v>
      </c>
    </row>
    <row r="369" spans="2:9" x14ac:dyDescent="0.25">
      <c r="B369" s="161">
        <v>41419</v>
      </c>
      <c r="C369" s="12" t="s">
        <v>802</v>
      </c>
      <c r="D369" s="12" t="s">
        <v>801</v>
      </c>
      <c r="E369" s="12" t="s">
        <v>798</v>
      </c>
      <c r="F369" s="12" t="s">
        <v>796</v>
      </c>
      <c r="G369" s="55">
        <v>455</v>
      </c>
      <c r="H369" s="55">
        <v>1009</v>
      </c>
      <c r="I369" s="2" t="b">
        <f t="shared" si="6"/>
        <v>0</v>
      </c>
    </row>
    <row r="370" spans="2:9" x14ac:dyDescent="0.25">
      <c r="B370" s="161">
        <v>41256</v>
      </c>
      <c r="C370" s="12" t="s">
        <v>802</v>
      </c>
      <c r="D370" s="12" t="s">
        <v>652</v>
      </c>
      <c r="E370" s="12" t="s">
        <v>798</v>
      </c>
      <c r="F370" s="12" t="s">
        <v>794</v>
      </c>
      <c r="G370" s="55">
        <v>3373</v>
      </c>
      <c r="H370" s="55">
        <v>6130</v>
      </c>
      <c r="I370" s="2" t="b">
        <f t="shared" si="6"/>
        <v>0</v>
      </c>
    </row>
    <row r="371" spans="2:9" x14ac:dyDescent="0.25">
      <c r="B371" s="161">
        <v>41330</v>
      </c>
      <c r="C371" s="12" t="s">
        <v>805</v>
      </c>
      <c r="D371" s="12" t="s">
        <v>797</v>
      </c>
      <c r="E371" s="12" t="s">
        <v>487</v>
      </c>
      <c r="F371" s="12" t="s">
        <v>799</v>
      </c>
      <c r="G371" s="55">
        <v>1316</v>
      </c>
      <c r="H371" s="55">
        <v>1407</v>
      </c>
      <c r="I371" s="2" t="b">
        <f t="shared" si="6"/>
        <v>0</v>
      </c>
    </row>
    <row r="372" spans="2:9" x14ac:dyDescent="0.25">
      <c r="B372" s="161">
        <v>41262</v>
      </c>
      <c r="C372" s="12" t="s">
        <v>792</v>
      </c>
      <c r="D372" s="12" t="s">
        <v>801</v>
      </c>
      <c r="E372" s="12" t="s">
        <v>795</v>
      </c>
      <c r="F372" s="12" t="s">
        <v>799</v>
      </c>
      <c r="G372" s="55">
        <v>5868</v>
      </c>
      <c r="H372" s="55">
        <v>9945</v>
      </c>
      <c r="I372" s="2" t="b">
        <f t="shared" si="6"/>
        <v>0</v>
      </c>
    </row>
    <row r="373" spans="2:9" x14ac:dyDescent="0.25">
      <c r="B373" s="161">
        <v>41276</v>
      </c>
      <c r="C373" s="12" t="s">
        <v>802</v>
      </c>
      <c r="D373" s="12" t="s">
        <v>797</v>
      </c>
      <c r="E373" s="12" t="s">
        <v>804</v>
      </c>
      <c r="F373" s="12" t="s">
        <v>796</v>
      </c>
      <c r="G373" s="55">
        <v>2272</v>
      </c>
      <c r="H373" s="55">
        <v>6142</v>
      </c>
      <c r="I373" s="2" t="b">
        <f t="shared" si="6"/>
        <v>0</v>
      </c>
    </row>
    <row r="374" spans="2:9" x14ac:dyDescent="0.25">
      <c r="B374" s="161">
        <v>41105</v>
      </c>
      <c r="C374" s="12" t="s">
        <v>792</v>
      </c>
      <c r="D374" s="12" t="s">
        <v>801</v>
      </c>
      <c r="E374" s="12" t="s">
        <v>808</v>
      </c>
      <c r="F374" s="12" t="s">
        <v>794</v>
      </c>
      <c r="G374" s="55">
        <v>5482</v>
      </c>
      <c r="H374" s="55">
        <v>9967</v>
      </c>
      <c r="I374" s="2" t="b">
        <f t="shared" si="6"/>
        <v>0</v>
      </c>
    </row>
    <row r="375" spans="2:9" x14ac:dyDescent="0.25">
      <c r="B375" s="161">
        <v>41261</v>
      </c>
      <c r="C375" s="12" t="s">
        <v>792</v>
      </c>
      <c r="D375" s="12" t="s">
        <v>457</v>
      </c>
      <c r="E375" s="12" t="s">
        <v>809</v>
      </c>
      <c r="F375" s="12" t="s">
        <v>799</v>
      </c>
      <c r="G375" s="55">
        <v>331</v>
      </c>
      <c r="H375" s="55">
        <v>561</v>
      </c>
      <c r="I375" s="2" t="b">
        <f t="shared" si="6"/>
        <v>0</v>
      </c>
    </row>
    <row r="376" spans="2:9" x14ac:dyDescent="0.25">
      <c r="B376" s="161">
        <v>41383</v>
      </c>
      <c r="C376" s="12" t="s">
        <v>792</v>
      </c>
      <c r="D376" s="12" t="s">
        <v>797</v>
      </c>
      <c r="E376" s="12" t="s">
        <v>795</v>
      </c>
      <c r="F376" s="12" t="s">
        <v>799</v>
      </c>
      <c r="G376" s="55">
        <v>2384</v>
      </c>
      <c r="H376" s="55">
        <v>3178</v>
      </c>
      <c r="I376" s="2" t="b">
        <f t="shared" si="6"/>
        <v>0</v>
      </c>
    </row>
    <row r="377" spans="2:9" x14ac:dyDescent="0.25">
      <c r="B377" s="161">
        <v>41554</v>
      </c>
      <c r="C377" s="12" t="s">
        <v>790</v>
      </c>
      <c r="D377" s="12" t="s">
        <v>652</v>
      </c>
      <c r="E377" s="12" t="s">
        <v>800</v>
      </c>
      <c r="F377" s="12" t="s">
        <v>796</v>
      </c>
      <c r="G377" s="55">
        <v>4573</v>
      </c>
      <c r="H377" s="55">
        <v>7884</v>
      </c>
      <c r="I377" s="2" t="b">
        <f t="shared" si="6"/>
        <v>0</v>
      </c>
    </row>
    <row r="378" spans="2:9" x14ac:dyDescent="0.25">
      <c r="B378" s="161">
        <v>41279</v>
      </c>
      <c r="C378" s="12" t="s">
        <v>802</v>
      </c>
      <c r="D378" s="12" t="s">
        <v>457</v>
      </c>
      <c r="E378" s="12" t="s">
        <v>798</v>
      </c>
      <c r="F378" s="12" t="s">
        <v>794</v>
      </c>
      <c r="G378" s="55">
        <v>3129</v>
      </c>
      <c r="H378" s="55">
        <v>3347</v>
      </c>
      <c r="I378" s="2" t="b">
        <f t="shared" si="6"/>
        <v>0</v>
      </c>
    </row>
    <row r="379" spans="2:9" x14ac:dyDescent="0.25">
      <c r="B379" s="161">
        <v>41469</v>
      </c>
      <c r="C379" s="12" t="s">
        <v>802</v>
      </c>
      <c r="D379" s="12" t="s">
        <v>801</v>
      </c>
      <c r="E379" s="12" t="s">
        <v>798</v>
      </c>
      <c r="F379" s="12" t="s">
        <v>794</v>
      </c>
      <c r="G379" s="55">
        <v>2149</v>
      </c>
      <c r="H379" s="55">
        <v>3642</v>
      </c>
      <c r="I379" s="2" t="b">
        <f t="shared" si="6"/>
        <v>0</v>
      </c>
    </row>
    <row r="380" spans="2:9" x14ac:dyDescent="0.25">
      <c r="B380" s="161">
        <v>41503</v>
      </c>
      <c r="C380" s="12" t="s">
        <v>802</v>
      </c>
      <c r="D380" s="12" t="s">
        <v>652</v>
      </c>
      <c r="E380" s="12" t="s">
        <v>806</v>
      </c>
      <c r="F380" s="12" t="s">
        <v>799</v>
      </c>
      <c r="G380" s="55">
        <v>3739</v>
      </c>
      <c r="H380" s="55">
        <v>8309</v>
      </c>
      <c r="I380" s="2" t="b">
        <f t="shared" si="6"/>
        <v>0</v>
      </c>
    </row>
    <row r="381" spans="2:9" x14ac:dyDescent="0.25">
      <c r="B381" s="161">
        <v>41401</v>
      </c>
      <c r="C381" s="12" t="s">
        <v>792</v>
      </c>
      <c r="D381" s="12" t="s">
        <v>652</v>
      </c>
      <c r="E381" s="12" t="s">
        <v>803</v>
      </c>
      <c r="F381" s="12" t="s">
        <v>796</v>
      </c>
      <c r="G381" s="55">
        <v>5027</v>
      </c>
      <c r="H381" s="55">
        <v>8520</v>
      </c>
      <c r="I381" s="2" t="b">
        <f t="shared" si="6"/>
        <v>0</v>
      </c>
    </row>
    <row r="382" spans="2:9" x14ac:dyDescent="0.25">
      <c r="B382" s="161">
        <v>41144</v>
      </c>
      <c r="C382" s="12" t="s">
        <v>792</v>
      </c>
      <c r="D382" s="12" t="s">
        <v>797</v>
      </c>
      <c r="E382" s="12" t="s">
        <v>607</v>
      </c>
      <c r="F382" s="12" t="s">
        <v>791</v>
      </c>
      <c r="G382" s="55">
        <v>3976</v>
      </c>
      <c r="H382" s="55">
        <v>5301</v>
      </c>
      <c r="I382" s="2" t="b">
        <f t="shared" si="6"/>
        <v>0</v>
      </c>
    </row>
    <row r="383" spans="2:9" x14ac:dyDescent="0.25">
      <c r="B383" s="161">
        <v>41391</v>
      </c>
      <c r="C383" s="12" t="s">
        <v>790</v>
      </c>
      <c r="D383" s="12" t="s">
        <v>801</v>
      </c>
      <c r="E383" s="12" t="s">
        <v>800</v>
      </c>
      <c r="F383" s="12" t="s">
        <v>799</v>
      </c>
      <c r="G383" s="55">
        <v>3028</v>
      </c>
      <c r="H383" s="55">
        <v>4453</v>
      </c>
      <c r="I383" s="2" t="b">
        <f t="shared" si="6"/>
        <v>0</v>
      </c>
    </row>
    <row r="384" spans="2:9" x14ac:dyDescent="0.25">
      <c r="B384" s="161">
        <v>41234</v>
      </c>
      <c r="C384" s="12" t="s">
        <v>802</v>
      </c>
      <c r="D384" s="12" t="s">
        <v>797</v>
      </c>
      <c r="E384" s="12" t="s">
        <v>804</v>
      </c>
      <c r="F384" s="12" t="s">
        <v>791</v>
      </c>
      <c r="G384" s="55">
        <v>3181</v>
      </c>
      <c r="H384" s="55">
        <v>8597</v>
      </c>
      <c r="I384" s="2" t="b">
        <f t="shared" si="6"/>
        <v>0</v>
      </c>
    </row>
    <row r="385" spans="2:9" x14ac:dyDescent="0.25">
      <c r="B385" s="161">
        <v>41358</v>
      </c>
      <c r="C385" s="12" t="s">
        <v>792</v>
      </c>
      <c r="D385" s="12" t="s">
        <v>801</v>
      </c>
      <c r="E385" s="12" t="s">
        <v>607</v>
      </c>
      <c r="F385" s="12" t="s">
        <v>791</v>
      </c>
      <c r="G385" s="55">
        <v>1756</v>
      </c>
      <c r="H385" s="55">
        <v>3028</v>
      </c>
      <c r="I385" s="2" t="b">
        <f t="shared" si="6"/>
        <v>0</v>
      </c>
    </row>
    <row r="386" spans="2:9" x14ac:dyDescent="0.25">
      <c r="B386" s="161">
        <v>41274</v>
      </c>
      <c r="C386" s="12" t="s">
        <v>805</v>
      </c>
      <c r="D386" s="12" t="s">
        <v>801</v>
      </c>
      <c r="E386" s="12" t="s">
        <v>808</v>
      </c>
      <c r="F386" s="12" t="s">
        <v>796</v>
      </c>
      <c r="G386" s="55">
        <v>8192</v>
      </c>
      <c r="H386" s="55">
        <v>9311</v>
      </c>
      <c r="I386" s="2" t="b">
        <f t="shared" si="6"/>
        <v>0</v>
      </c>
    </row>
    <row r="387" spans="2:9" x14ac:dyDescent="0.25">
      <c r="B387" s="161">
        <v>41327</v>
      </c>
      <c r="C387" s="12" t="s">
        <v>805</v>
      </c>
      <c r="D387" s="12" t="s">
        <v>457</v>
      </c>
      <c r="E387" s="12" t="s">
        <v>800</v>
      </c>
      <c r="F387" s="12" t="s">
        <v>796</v>
      </c>
      <c r="G387" s="55">
        <v>795</v>
      </c>
      <c r="H387" s="55">
        <v>1169</v>
      </c>
      <c r="I387" s="2" t="b">
        <f t="shared" si="6"/>
        <v>0</v>
      </c>
    </row>
    <row r="388" spans="2:9" x14ac:dyDescent="0.25">
      <c r="B388" s="161">
        <v>41250</v>
      </c>
      <c r="C388" s="12" t="s">
        <v>790</v>
      </c>
      <c r="D388" s="12" t="s">
        <v>797</v>
      </c>
      <c r="E388" s="12" t="s">
        <v>793</v>
      </c>
      <c r="F388" s="12" t="s">
        <v>791</v>
      </c>
      <c r="G388" s="55">
        <v>5858</v>
      </c>
      <c r="H388" s="55">
        <v>9929</v>
      </c>
      <c r="I388" s="2" t="b">
        <f t="shared" si="6"/>
        <v>0</v>
      </c>
    </row>
    <row r="389" spans="2:9" x14ac:dyDescent="0.25">
      <c r="B389" s="161">
        <v>41263</v>
      </c>
      <c r="C389" s="12" t="s">
        <v>802</v>
      </c>
      <c r="D389" s="12" t="s">
        <v>652</v>
      </c>
      <c r="E389" s="12" t="s">
        <v>806</v>
      </c>
      <c r="F389" s="12" t="s">
        <v>799</v>
      </c>
      <c r="G389" s="55">
        <v>5491</v>
      </c>
      <c r="H389" s="55">
        <v>6239</v>
      </c>
      <c r="I389" s="2" t="b">
        <f t="shared" si="6"/>
        <v>0</v>
      </c>
    </row>
    <row r="390" spans="2:9" x14ac:dyDescent="0.25">
      <c r="B390" s="161">
        <v>41076</v>
      </c>
      <c r="C390" s="12" t="s">
        <v>802</v>
      </c>
      <c r="D390" s="12" t="s">
        <v>652</v>
      </c>
      <c r="E390" s="12" t="s">
        <v>809</v>
      </c>
      <c r="F390" s="12" t="s">
        <v>796</v>
      </c>
      <c r="G390" s="55">
        <v>3399</v>
      </c>
      <c r="H390" s="55">
        <v>4998</v>
      </c>
      <c r="I390" s="2" t="b">
        <f t="shared" si="6"/>
        <v>0</v>
      </c>
    </row>
    <row r="391" spans="2:9" x14ac:dyDescent="0.25">
      <c r="B391" s="161">
        <v>40996</v>
      </c>
      <c r="C391" s="12" t="s">
        <v>805</v>
      </c>
      <c r="D391" s="12" t="s">
        <v>457</v>
      </c>
      <c r="E391" s="12" t="s">
        <v>795</v>
      </c>
      <c r="F391" s="12" t="s">
        <v>799</v>
      </c>
      <c r="G391" s="55">
        <v>375</v>
      </c>
      <c r="H391" s="55">
        <v>1013</v>
      </c>
      <c r="I391" s="2" t="b">
        <f t="shared" ref="I391:I454" si="7">AND($K$9=C391,$L$9=D391,$M$9=F391)</f>
        <v>0</v>
      </c>
    </row>
    <row r="392" spans="2:9" x14ac:dyDescent="0.25">
      <c r="B392" s="161">
        <v>41240</v>
      </c>
      <c r="C392" s="12" t="s">
        <v>790</v>
      </c>
      <c r="D392" s="12" t="s">
        <v>801</v>
      </c>
      <c r="E392" s="12" t="s">
        <v>798</v>
      </c>
      <c r="F392" s="12" t="s">
        <v>794</v>
      </c>
      <c r="G392" s="55">
        <v>2004</v>
      </c>
      <c r="H392" s="55">
        <v>4453</v>
      </c>
      <c r="I392" s="2" t="b">
        <f t="shared" si="7"/>
        <v>0</v>
      </c>
    </row>
    <row r="393" spans="2:9" x14ac:dyDescent="0.25">
      <c r="B393" s="161">
        <v>41324</v>
      </c>
      <c r="C393" s="12" t="s">
        <v>790</v>
      </c>
      <c r="D393" s="12" t="s">
        <v>797</v>
      </c>
      <c r="E393" s="12" t="s">
        <v>809</v>
      </c>
      <c r="F393" s="12" t="s">
        <v>794</v>
      </c>
      <c r="G393" s="55">
        <v>1531</v>
      </c>
      <c r="H393" s="55">
        <v>2594</v>
      </c>
      <c r="I393" s="2" t="b">
        <f t="shared" si="7"/>
        <v>0</v>
      </c>
    </row>
    <row r="394" spans="2:9" x14ac:dyDescent="0.25">
      <c r="B394" s="161">
        <v>41395</v>
      </c>
      <c r="C394" s="12" t="s">
        <v>802</v>
      </c>
      <c r="D394" s="12" t="s">
        <v>797</v>
      </c>
      <c r="E394" s="12" t="s">
        <v>808</v>
      </c>
      <c r="F394" s="12" t="s">
        <v>794</v>
      </c>
      <c r="G394" s="55">
        <v>3084</v>
      </c>
      <c r="H394" s="55">
        <v>5317</v>
      </c>
      <c r="I394" s="2" t="b">
        <f t="shared" si="7"/>
        <v>0</v>
      </c>
    </row>
    <row r="395" spans="2:9" x14ac:dyDescent="0.25">
      <c r="B395" s="161">
        <v>41272</v>
      </c>
      <c r="C395" s="12" t="s">
        <v>805</v>
      </c>
      <c r="D395" s="12" t="s">
        <v>797</v>
      </c>
      <c r="E395" s="12" t="s">
        <v>809</v>
      </c>
      <c r="F395" s="12" t="s">
        <v>799</v>
      </c>
      <c r="G395" s="55">
        <v>789</v>
      </c>
      <c r="H395" s="55">
        <v>1337</v>
      </c>
      <c r="I395" s="2" t="b">
        <f t="shared" si="7"/>
        <v>0</v>
      </c>
    </row>
    <row r="396" spans="2:9" x14ac:dyDescent="0.25">
      <c r="B396" s="161">
        <v>41125</v>
      </c>
      <c r="C396" s="12" t="s">
        <v>802</v>
      </c>
      <c r="D396" s="12" t="s">
        <v>457</v>
      </c>
      <c r="E396" s="12" t="s">
        <v>803</v>
      </c>
      <c r="F396" s="12" t="s">
        <v>796</v>
      </c>
      <c r="G396" s="55">
        <v>840</v>
      </c>
      <c r="H396" s="55">
        <v>1866</v>
      </c>
      <c r="I396" s="2" t="b">
        <f t="shared" si="7"/>
        <v>0</v>
      </c>
    </row>
    <row r="397" spans="2:9" x14ac:dyDescent="0.25">
      <c r="B397" s="161">
        <v>40920</v>
      </c>
      <c r="C397" s="12" t="s">
        <v>792</v>
      </c>
      <c r="D397" s="12" t="s">
        <v>801</v>
      </c>
      <c r="E397" s="12" t="s">
        <v>809</v>
      </c>
      <c r="F397" s="12" t="s">
        <v>796</v>
      </c>
      <c r="G397" s="55">
        <v>2119</v>
      </c>
      <c r="H397" s="55">
        <v>5726</v>
      </c>
      <c r="I397" s="2" t="b">
        <f t="shared" si="7"/>
        <v>0</v>
      </c>
    </row>
    <row r="398" spans="2:9" x14ac:dyDescent="0.25">
      <c r="B398" s="161">
        <v>41404</v>
      </c>
      <c r="C398" s="12" t="s">
        <v>805</v>
      </c>
      <c r="D398" s="12" t="s">
        <v>797</v>
      </c>
      <c r="E398" s="12" t="s">
        <v>803</v>
      </c>
      <c r="F398" s="12" t="s">
        <v>799</v>
      </c>
      <c r="G398" s="55">
        <v>2128</v>
      </c>
      <c r="H398" s="55">
        <v>3128</v>
      </c>
      <c r="I398" s="2" t="b">
        <f t="shared" si="7"/>
        <v>0</v>
      </c>
    </row>
    <row r="399" spans="2:9" x14ac:dyDescent="0.25">
      <c r="B399" s="161">
        <v>41054</v>
      </c>
      <c r="C399" s="12" t="s">
        <v>802</v>
      </c>
      <c r="D399" s="12" t="s">
        <v>457</v>
      </c>
      <c r="E399" s="12" t="s">
        <v>806</v>
      </c>
      <c r="F399" s="12" t="s">
        <v>791</v>
      </c>
      <c r="G399" s="55">
        <v>1310</v>
      </c>
      <c r="H399" s="55">
        <v>2259</v>
      </c>
      <c r="I399" s="2" t="b">
        <f t="shared" si="7"/>
        <v>0</v>
      </c>
    </row>
    <row r="400" spans="2:9" x14ac:dyDescent="0.25">
      <c r="B400" s="161">
        <v>41576</v>
      </c>
      <c r="C400" s="12" t="s">
        <v>790</v>
      </c>
      <c r="D400" s="12" t="s">
        <v>652</v>
      </c>
      <c r="E400" s="12" t="s">
        <v>487</v>
      </c>
      <c r="F400" s="12" t="s">
        <v>799</v>
      </c>
      <c r="G400" s="55">
        <v>2658</v>
      </c>
      <c r="H400" s="55">
        <v>7183</v>
      </c>
      <c r="I400" s="2" t="b">
        <f t="shared" si="7"/>
        <v>0</v>
      </c>
    </row>
    <row r="401" spans="2:9" x14ac:dyDescent="0.25">
      <c r="B401" s="161">
        <v>41444</v>
      </c>
      <c r="C401" s="12" t="s">
        <v>792</v>
      </c>
      <c r="D401" s="12" t="s">
        <v>801</v>
      </c>
      <c r="E401" s="12" t="s">
        <v>795</v>
      </c>
      <c r="F401" s="12" t="s">
        <v>799</v>
      </c>
      <c r="G401" s="55">
        <v>3624</v>
      </c>
      <c r="H401" s="55">
        <v>8428</v>
      </c>
      <c r="I401" s="2" t="b">
        <f t="shared" si="7"/>
        <v>0</v>
      </c>
    </row>
    <row r="402" spans="2:9" x14ac:dyDescent="0.25">
      <c r="B402" s="161">
        <v>41536</v>
      </c>
      <c r="C402" s="12" t="s">
        <v>792</v>
      </c>
      <c r="D402" s="12" t="s">
        <v>652</v>
      </c>
      <c r="E402" s="12" t="s">
        <v>809</v>
      </c>
      <c r="F402" s="12" t="s">
        <v>794</v>
      </c>
      <c r="G402" s="55">
        <v>116</v>
      </c>
      <c r="H402" s="55">
        <v>210</v>
      </c>
      <c r="I402" s="2" t="b">
        <f t="shared" si="7"/>
        <v>0</v>
      </c>
    </row>
    <row r="403" spans="2:9" x14ac:dyDescent="0.25">
      <c r="B403" s="161">
        <v>41220</v>
      </c>
      <c r="C403" s="12" t="s">
        <v>802</v>
      </c>
      <c r="D403" s="12" t="s">
        <v>457</v>
      </c>
      <c r="E403" s="12" t="s">
        <v>793</v>
      </c>
      <c r="F403" s="12" t="s">
        <v>794</v>
      </c>
      <c r="G403" s="55">
        <v>5886</v>
      </c>
      <c r="H403" s="55">
        <v>9976</v>
      </c>
      <c r="I403" s="2" t="b">
        <f t="shared" si="7"/>
        <v>0</v>
      </c>
    </row>
    <row r="404" spans="2:9" x14ac:dyDescent="0.25">
      <c r="B404" s="161">
        <v>41229</v>
      </c>
      <c r="C404" s="12" t="s">
        <v>805</v>
      </c>
      <c r="D404" s="12" t="s">
        <v>652</v>
      </c>
      <c r="E404" s="12" t="s">
        <v>607</v>
      </c>
      <c r="F404" s="12" t="s">
        <v>791</v>
      </c>
      <c r="G404" s="55">
        <v>5143</v>
      </c>
      <c r="H404" s="55">
        <v>5500</v>
      </c>
      <c r="I404" s="2" t="b">
        <f t="shared" si="7"/>
        <v>0</v>
      </c>
    </row>
    <row r="405" spans="2:9" x14ac:dyDescent="0.25">
      <c r="B405" s="161">
        <v>40935</v>
      </c>
      <c r="C405" s="12" t="s">
        <v>790</v>
      </c>
      <c r="D405" s="12" t="s">
        <v>801</v>
      </c>
      <c r="E405" s="12" t="s">
        <v>808</v>
      </c>
      <c r="F405" s="12" t="s">
        <v>791</v>
      </c>
      <c r="G405" s="55">
        <v>2050</v>
      </c>
      <c r="H405" s="55">
        <v>3729</v>
      </c>
      <c r="I405" s="2" t="b">
        <f t="shared" si="7"/>
        <v>0</v>
      </c>
    </row>
    <row r="406" spans="2:9" x14ac:dyDescent="0.25">
      <c r="B406" s="161">
        <v>41444</v>
      </c>
      <c r="C406" s="12" t="s">
        <v>790</v>
      </c>
      <c r="D406" s="12" t="s">
        <v>652</v>
      </c>
      <c r="E406" s="12" t="s">
        <v>795</v>
      </c>
      <c r="F406" s="12" t="s">
        <v>794</v>
      </c>
      <c r="G406" s="55">
        <v>1257</v>
      </c>
      <c r="H406" s="55">
        <v>2922</v>
      </c>
      <c r="I406" s="2" t="b">
        <f t="shared" si="7"/>
        <v>0</v>
      </c>
    </row>
    <row r="407" spans="2:9" x14ac:dyDescent="0.25">
      <c r="B407" s="161">
        <v>41071</v>
      </c>
      <c r="C407" s="12" t="s">
        <v>802</v>
      </c>
      <c r="D407" s="12" t="s">
        <v>797</v>
      </c>
      <c r="E407" s="12" t="s">
        <v>607</v>
      </c>
      <c r="F407" s="12" t="s">
        <v>796</v>
      </c>
      <c r="G407" s="55">
        <v>2172</v>
      </c>
      <c r="H407" s="55">
        <v>4824</v>
      </c>
      <c r="I407" s="2" t="b">
        <f t="shared" si="7"/>
        <v>0</v>
      </c>
    </row>
    <row r="408" spans="2:9" x14ac:dyDescent="0.25">
      <c r="B408" s="161">
        <v>41038</v>
      </c>
      <c r="C408" s="12" t="s">
        <v>790</v>
      </c>
      <c r="D408" s="12" t="s">
        <v>652</v>
      </c>
      <c r="E408" s="12" t="s">
        <v>793</v>
      </c>
      <c r="F408" s="12" t="s">
        <v>799</v>
      </c>
      <c r="G408" s="55">
        <v>1059</v>
      </c>
      <c r="H408" s="55">
        <v>2864</v>
      </c>
      <c r="I408" s="2" t="b">
        <f t="shared" si="7"/>
        <v>0</v>
      </c>
    </row>
    <row r="409" spans="2:9" x14ac:dyDescent="0.25">
      <c r="B409" s="161">
        <v>41506</v>
      </c>
      <c r="C409" s="12" t="s">
        <v>805</v>
      </c>
      <c r="D409" s="12" t="s">
        <v>457</v>
      </c>
      <c r="E409" s="12" t="s">
        <v>798</v>
      </c>
      <c r="F409" s="12" t="s">
        <v>791</v>
      </c>
      <c r="G409" s="55">
        <v>872</v>
      </c>
      <c r="H409" s="55">
        <v>1164</v>
      </c>
      <c r="I409" s="2" t="b">
        <f t="shared" si="7"/>
        <v>0</v>
      </c>
    </row>
    <row r="410" spans="2:9" x14ac:dyDescent="0.25">
      <c r="B410" s="161">
        <v>41190</v>
      </c>
      <c r="C410" s="12" t="s">
        <v>792</v>
      </c>
      <c r="D410" s="12" t="s">
        <v>457</v>
      </c>
      <c r="E410" s="12" t="s">
        <v>607</v>
      </c>
      <c r="F410" s="12" t="s">
        <v>799</v>
      </c>
      <c r="G410" s="55">
        <v>1037</v>
      </c>
      <c r="H410" s="55">
        <v>2302</v>
      </c>
      <c r="I410" s="2" t="b">
        <f t="shared" si="7"/>
        <v>0</v>
      </c>
    </row>
    <row r="411" spans="2:9" x14ac:dyDescent="0.25">
      <c r="B411" s="161">
        <v>41331</v>
      </c>
      <c r="C411" s="12" t="s">
        <v>790</v>
      </c>
      <c r="D411" s="12" t="s">
        <v>801</v>
      </c>
      <c r="E411" s="12" t="s">
        <v>806</v>
      </c>
      <c r="F411" s="12" t="s">
        <v>796</v>
      </c>
      <c r="G411" s="55">
        <v>3177</v>
      </c>
      <c r="H411" s="55">
        <v>4236</v>
      </c>
      <c r="I411" s="2" t="b">
        <f t="shared" si="7"/>
        <v>0</v>
      </c>
    </row>
    <row r="412" spans="2:9" x14ac:dyDescent="0.25">
      <c r="B412" s="161">
        <v>41173</v>
      </c>
      <c r="C412" s="12" t="s">
        <v>790</v>
      </c>
      <c r="D412" s="12" t="s">
        <v>801</v>
      </c>
      <c r="E412" s="12" t="s">
        <v>807</v>
      </c>
      <c r="F412" s="12" t="s">
        <v>796</v>
      </c>
      <c r="G412" s="55">
        <v>4253</v>
      </c>
      <c r="H412" s="55">
        <v>7731</v>
      </c>
      <c r="I412" s="2" t="b">
        <f t="shared" si="7"/>
        <v>0</v>
      </c>
    </row>
    <row r="413" spans="2:9" x14ac:dyDescent="0.25">
      <c r="B413" s="161">
        <v>41199</v>
      </c>
      <c r="C413" s="12" t="s">
        <v>802</v>
      </c>
      <c r="D413" s="12" t="s">
        <v>797</v>
      </c>
      <c r="E413" s="12" t="s">
        <v>806</v>
      </c>
      <c r="F413" s="12" t="s">
        <v>794</v>
      </c>
      <c r="G413" s="55">
        <v>1852</v>
      </c>
      <c r="H413" s="55">
        <v>5003</v>
      </c>
      <c r="I413" s="2" t="b">
        <f t="shared" si="7"/>
        <v>0</v>
      </c>
    </row>
    <row r="414" spans="2:9" x14ac:dyDescent="0.25">
      <c r="B414" s="161">
        <v>41045</v>
      </c>
      <c r="C414" s="12" t="s">
        <v>792</v>
      </c>
      <c r="D414" s="12" t="s">
        <v>457</v>
      </c>
      <c r="E414" s="12" t="s">
        <v>487</v>
      </c>
      <c r="F414" s="12" t="s">
        <v>794</v>
      </c>
      <c r="G414" s="55">
        <v>3633</v>
      </c>
      <c r="H414" s="55">
        <v>3886</v>
      </c>
      <c r="I414" s="2" t="b">
        <f t="shared" si="7"/>
        <v>1</v>
      </c>
    </row>
    <row r="415" spans="2:9" x14ac:dyDescent="0.25">
      <c r="B415" s="161">
        <v>41447</v>
      </c>
      <c r="C415" s="12" t="s">
        <v>805</v>
      </c>
      <c r="D415" s="12" t="s">
        <v>457</v>
      </c>
      <c r="E415" s="12" t="s">
        <v>807</v>
      </c>
      <c r="F415" s="12" t="s">
        <v>799</v>
      </c>
      <c r="G415" s="55">
        <v>2689</v>
      </c>
      <c r="H415" s="55">
        <v>4635</v>
      </c>
      <c r="I415" s="2" t="b">
        <f t="shared" si="7"/>
        <v>0</v>
      </c>
    </row>
    <row r="416" spans="2:9" x14ac:dyDescent="0.25">
      <c r="B416" s="161">
        <v>41229</v>
      </c>
      <c r="C416" s="12" t="s">
        <v>792</v>
      </c>
      <c r="D416" s="12" t="s">
        <v>797</v>
      </c>
      <c r="E416" s="12" t="s">
        <v>807</v>
      </c>
      <c r="F416" s="12" t="s">
        <v>796</v>
      </c>
      <c r="G416" s="55">
        <v>3608</v>
      </c>
      <c r="H416" s="55">
        <v>8020</v>
      </c>
      <c r="I416" s="2" t="b">
        <f t="shared" si="7"/>
        <v>0</v>
      </c>
    </row>
    <row r="417" spans="2:9" x14ac:dyDescent="0.25">
      <c r="B417" s="161">
        <v>41468</v>
      </c>
      <c r="C417" s="12" t="s">
        <v>802</v>
      </c>
      <c r="D417" s="12" t="s">
        <v>801</v>
      </c>
      <c r="E417" s="12" t="s">
        <v>808</v>
      </c>
      <c r="F417" s="12" t="s">
        <v>794</v>
      </c>
      <c r="G417" s="55">
        <v>5512</v>
      </c>
      <c r="H417" s="55">
        <v>9342</v>
      </c>
      <c r="I417" s="2" t="b">
        <f t="shared" si="7"/>
        <v>0</v>
      </c>
    </row>
    <row r="418" spans="2:9" x14ac:dyDescent="0.25">
      <c r="B418" s="161">
        <v>41100</v>
      </c>
      <c r="C418" s="12" t="s">
        <v>802</v>
      </c>
      <c r="D418" s="12" t="s">
        <v>797</v>
      </c>
      <c r="E418" s="12" t="s">
        <v>487</v>
      </c>
      <c r="F418" s="12" t="s">
        <v>796</v>
      </c>
      <c r="G418" s="55">
        <v>310</v>
      </c>
      <c r="H418" s="55">
        <v>527</v>
      </c>
      <c r="I418" s="2" t="b">
        <f t="shared" si="7"/>
        <v>0</v>
      </c>
    </row>
    <row r="419" spans="2:9" x14ac:dyDescent="0.25">
      <c r="B419" s="161">
        <v>41142</v>
      </c>
      <c r="C419" s="12" t="s">
        <v>792</v>
      </c>
      <c r="D419" s="12" t="s">
        <v>801</v>
      </c>
      <c r="E419" s="12" t="s">
        <v>800</v>
      </c>
      <c r="F419" s="12" t="s">
        <v>796</v>
      </c>
      <c r="G419" s="55">
        <v>1382</v>
      </c>
      <c r="H419" s="55">
        <v>2033</v>
      </c>
      <c r="I419" s="2" t="b">
        <f t="shared" si="7"/>
        <v>0</v>
      </c>
    </row>
    <row r="420" spans="2:9" x14ac:dyDescent="0.25">
      <c r="B420" s="161">
        <v>41090</v>
      </c>
      <c r="C420" s="12" t="s">
        <v>792</v>
      </c>
      <c r="D420" s="12" t="s">
        <v>797</v>
      </c>
      <c r="E420" s="12" t="s">
        <v>607</v>
      </c>
      <c r="F420" s="12" t="s">
        <v>799</v>
      </c>
      <c r="G420" s="55">
        <v>2707</v>
      </c>
      <c r="H420" s="55">
        <v>4919</v>
      </c>
      <c r="I420" s="2" t="b">
        <f t="shared" si="7"/>
        <v>0</v>
      </c>
    </row>
    <row r="421" spans="2:9" x14ac:dyDescent="0.25">
      <c r="B421" s="161">
        <v>41347</v>
      </c>
      <c r="C421" s="12" t="s">
        <v>802</v>
      </c>
      <c r="D421" s="12" t="s">
        <v>801</v>
      </c>
      <c r="E421" s="12" t="s">
        <v>807</v>
      </c>
      <c r="F421" s="12" t="s">
        <v>799</v>
      </c>
      <c r="G421" s="55">
        <v>3412</v>
      </c>
      <c r="H421" s="55">
        <v>3650</v>
      </c>
      <c r="I421" s="2" t="b">
        <f t="shared" si="7"/>
        <v>0</v>
      </c>
    </row>
    <row r="422" spans="2:9" x14ac:dyDescent="0.25">
      <c r="B422" s="161">
        <v>41043</v>
      </c>
      <c r="C422" s="12" t="s">
        <v>805</v>
      </c>
      <c r="D422" s="12" t="s">
        <v>457</v>
      </c>
      <c r="E422" s="12" t="s">
        <v>607</v>
      </c>
      <c r="F422" s="12" t="s">
        <v>794</v>
      </c>
      <c r="G422" s="55">
        <v>692</v>
      </c>
      <c r="H422" s="55">
        <v>923</v>
      </c>
      <c r="I422" s="2" t="b">
        <f t="shared" si="7"/>
        <v>0</v>
      </c>
    </row>
    <row r="423" spans="2:9" x14ac:dyDescent="0.25">
      <c r="B423" s="161">
        <v>41586</v>
      </c>
      <c r="C423" s="12" t="s">
        <v>805</v>
      </c>
      <c r="D423" s="12" t="s">
        <v>457</v>
      </c>
      <c r="E423" s="12" t="s">
        <v>808</v>
      </c>
      <c r="F423" s="12" t="s">
        <v>799</v>
      </c>
      <c r="G423" s="55">
        <v>7206</v>
      </c>
      <c r="H423" s="55">
        <v>7706</v>
      </c>
      <c r="I423" s="2" t="b">
        <f t="shared" si="7"/>
        <v>0</v>
      </c>
    </row>
    <row r="424" spans="2:9" x14ac:dyDescent="0.25">
      <c r="B424" s="161">
        <v>41487</v>
      </c>
      <c r="C424" s="12" t="s">
        <v>792</v>
      </c>
      <c r="D424" s="12" t="s">
        <v>457</v>
      </c>
      <c r="E424" s="12" t="s">
        <v>807</v>
      </c>
      <c r="F424" s="12" t="s">
        <v>796</v>
      </c>
      <c r="G424" s="55">
        <v>2223</v>
      </c>
      <c r="H424" s="55">
        <v>2526</v>
      </c>
      <c r="I424" s="2" t="b">
        <f t="shared" si="7"/>
        <v>0</v>
      </c>
    </row>
    <row r="425" spans="2:9" x14ac:dyDescent="0.25">
      <c r="B425" s="161">
        <v>40988</v>
      </c>
      <c r="C425" s="12" t="s">
        <v>802</v>
      </c>
      <c r="D425" s="12" t="s">
        <v>457</v>
      </c>
      <c r="E425" s="12" t="s">
        <v>803</v>
      </c>
      <c r="F425" s="12" t="s">
        <v>791</v>
      </c>
      <c r="G425" s="55">
        <v>87</v>
      </c>
      <c r="H425" s="55">
        <v>201</v>
      </c>
      <c r="I425" s="2" t="b">
        <f t="shared" si="7"/>
        <v>0</v>
      </c>
    </row>
    <row r="426" spans="2:9" x14ac:dyDescent="0.25">
      <c r="B426" s="161">
        <v>41039</v>
      </c>
      <c r="C426" s="12" t="s">
        <v>802</v>
      </c>
      <c r="D426" s="12" t="s">
        <v>652</v>
      </c>
      <c r="E426" s="12" t="s">
        <v>806</v>
      </c>
      <c r="F426" s="12" t="s">
        <v>794</v>
      </c>
      <c r="G426" s="55">
        <v>2236</v>
      </c>
      <c r="H426" s="55">
        <v>3791</v>
      </c>
      <c r="I426" s="2" t="b">
        <f t="shared" si="7"/>
        <v>0</v>
      </c>
    </row>
    <row r="427" spans="2:9" x14ac:dyDescent="0.25">
      <c r="B427" s="161">
        <v>41423</v>
      </c>
      <c r="C427" s="12" t="s">
        <v>792</v>
      </c>
      <c r="D427" s="12" t="s">
        <v>652</v>
      </c>
      <c r="E427" s="12" t="s">
        <v>803</v>
      </c>
      <c r="F427" s="12" t="s">
        <v>796</v>
      </c>
      <c r="G427" s="55">
        <v>305</v>
      </c>
      <c r="H427" s="55">
        <v>326</v>
      </c>
      <c r="I427" s="2" t="b">
        <f t="shared" si="7"/>
        <v>0</v>
      </c>
    </row>
    <row r="428" spans="2:9" x14ac:dyDescent="0.25">
      <c r="B428" s="161">
        <v>41323</v>
      </c>
      <c r="C428" s="12" t="s">
        <v>802</v>
      </c>
      <c r="D428" s="12" t="s">
        <v>797</v>
      </c>
      <c r="E428" s="12" t="s">
        <v>809</v>
      </c>
      <c r="F428" s="12" t="s">
        <v>794</v>
      </c>
      <c r="G428" s="55">
        <v>6113</v>
      </c>
      <c r="H428" s="55">
        <v>6539</v>
      </c>
      <c r="I428" s="2" t="b">
        <f t="shared" si="7"/>
        <v>0</v>
      </c>
    </row>
    <row r="429" spans="2:9" x14ac:dyDescent="0.25">
      <c r="B429" s="161">
        <v>41401</v>
      </c>
      <c r="C429" s="12" t="s">
        <v>805</v>
      </c>
      <c r="D429" s="12" t="s">
        <v>457</v>
      </c>
      <c r="E429" s="12" t="s">
        <v>809</v>
      </c>
      <c r="F429" s="12" t="s">
        <v>799</v>
      </c>
      <c r="G429" s="55">
        <v>3899</v>
      </c>
      <c r="H429" s="55">
        <v>7088</v>
      </c>
      <c r="I429" s="2" t="b">
        <f t="shared" si="7"/>
        <v>0</v>
      </c>
    </row>
    <row r="430" spans="2:9" x14ac:dyDescent="0.25">
      <c r="B430" s="161">
        <v>41149</v>
      </c>
      <c r="C430" s="12" t="s">
        <v>802</v>
      </c>
      <c r="D430" s="12" t="s">
        <v>801</v>
      </c>
      <c r="E430" s="12" t="s">
        <v>809</v>
      </c>
      <c r="F430" s="12" t="s">
        <v>791</v>
      </c>
      <c r="G430" s="55">
        <v>3543</v>
      </c>
      <c r="H430" s="55">
        <v>9577</v>
      </c>
      <c r="I430" s="2" t="b">
        <f t="shared" si="7"/>
        <v>0</v>
      </c>
    </row>
    <row r="431" spans="2:9" x14ac:dyDescent="0.25">
      <c r="B431" s="161">
        <v>41608</v>
      </c>
      <c r="C431" s="12" t="s">
        <v>790</v>
      </c>
      <c r="D431" s="12" t="s">
        <v>797</v>
      </c>
      <c r="E431" s="12" t="s">
        <v>800</v>
      </c>
      <c r="F431" s="12" t="s">
        <v>799</v>
      </c>
      <c r="G431" s="55">
        <v>1280</v>
      </c>
      <c r="H431" s="55">
        <v>2169</v>
      </c>
      <c r="I431" s="2" t="b">
        <f t="shared" si="7"/>
        <v>0</v>
      </c>
    </row>
    <row r="432" spans="2:9" x14ac:dyDescent="0.25">
      <c r="B432" s="161">
        <v>40962</v>
      </c>
      <c r="C432" s="12" t="s">
        <v>792</v>
      </c>
      <c r="D432" s="12" t="s">
        <v>801</v>
      </c>
      <c r="E432" s="12" t="s">
        <v>795</v>
      </c>
      <c r="F432" s="12" t="s">
        <v>796</v>
      </c>
      <c r="G432" s="55">
        <v>3683</v>
      </c>
      <c r="H432" s="55">
        <v>6349</v>
      </c>
      <c r="I432" s="2" t="b">
        <f t="shared" si="7"/>
        <v>0</v>
      </c>
    </row>
    <row r="433" spans="2:9" x14ac:dyDescent="0.25">
      <c r="B433" s="161">
        <v>41098</v>
      </c>
      <c r="C433" s="12" t="s">
        <v>805</v>
      </c>
      <c r="D433" s="12" t="s">
        <v>801</v>
      </c>
      <c r="E433" s="12" t="s">
        <v>607</v>
      </c>
      <c r="F433" s="12" t="s">
        <v>796</v>
      </c>
      <c r="G433" s="55">
        <v>558</v>
      </c>
      <c r="H433" s="55">
        <v>597</v>
      </c>
      <c r="I433" s="2" t="b">
        <f t="shared" si="7"/>
        <v>0</v>
      </c>
    </row>
    <row r="434" spans="2:9" x14ac:dyDescent="0.25">
      <c r="B434" s="161">
        <v>41385</v>
      </c>
      <c r="C434" s="12" t="s">
        <v>802</v>
      </c>
      <c r="D434" s="12" t="s">
        <v>652</v>
      </c>
      <c r="E434" s="12" t="s">
        <v>806</v>
      </c>
      <c r="F434" s="12" t="s">
        <v>796</v>
      </c>
      <c r="G434" s="55">
        <v>3628</v>
      </c>
      <c r="H434" s="55">
        <v>8063</v>
      </c>
      <c r="I434" s="2" t="b">
        <f t="shared" si="7"/>
        <v>0</v>
      </c>
    </row>
    <row r="435" spans="2:9" x14ac:dyDescent="0.25">
      <c r="B435" s="161">
        <v>41168</v>
      </c>
      <c r="C435" s="12" t="s">
        <v>805</v>
      </c>
      <c r="D435" s="12" t="s">
        <v>801</v>
      </c>
      <c r="E435" s="12" t="s">
        <v>808</v>
      </c>
      <c r="F435" s="12" t="s">
        <v>796</v>
      </c>
      <c r="G435" s="55">
        <v>829</v>
      </c>
      <c r="H435" s="55">
        <v>2240</v>
      </c>
      <c r="I435" s="2" t="b">
        <f t="shared" si="7"/>
        <v>0</v>
      </c>
    </row>
    <row r="436" spans="2:9" x14ac:dyDescent="0.25">
      <c r="B436" s="161">
        <v>41033</v>
      </c>
      <c r="C436" s="12" t="s">
        <v>790</v>
      </c>
      <c r="D436" s="12" t="s">
        <v>801</v>
      </c>
      <c r="E436" s="12" t="s">
        <v>804</v>
      </c>
      <c r="F436" s="12" t="s">
        <v>794</v>
      </c>
      <c r="G436" s="55">
        <v>7980</v>
      </c>
      <c r="H436" s="55">
        <v>8536</v>
      </c>
      <c r="I436" s="2" t="b">
        <f t="shared" si="7"/>
        <v>0</v>
      </c>
    </row>
    <row r="437" spans="2:9" x14ac:dyDescent="0.25">
      <c r="B437" s="161">
        <v>41062</v>
      </c>
      <c r="C437" s="12" t="s">
        <v>802</v>
      </c>
      <c r="D437" s="12" t="s">
        <v>652</v>
      </c>
      <c r="E437" s="12" t="s">
        <v>607</v>
      </c>
      <c r="F437" s="12" t="s">
        <v>794</v>
      </c>
      <c r="G437" s="55">
        <v>4486</v>
      </c>
      <c r="H437" s="55">
        <v>5097</v>
      </c>
      <c r="I437" s="2" t="b">
        <f t="shared" si="7"/>
        <v>0</v>
      </c>
    </row>
    <row r="438" spans="2:9" x14ac:dyDescent="0.25">
      <c r="B438" s="161">
        <v>41243</v>
      </c>
      <c r="C438" s="12" t="s">
        <v>790</v>
      </c>
      <c r="D438" s="12" t="s">
        <v>457</v>
      </c>
      <c r="E438" s="12" t="s">
        <v>487</v>
      </c>
      <c r="F438" s="12" t="s">
        <v>794</v>
      </c>
      <c r="G438" s="55">
        <v>6287</v>
      </c>
      <c r="H438" s="55">
        <v>7145</v>
      </c>
      <c r="I438" s="2" t="b">
        <f t="shared" si="7"/>
        <v>0</v>
      </c>
    </row>
    <row r="439" spans="2:9" x14ac:dyDescent="0.25">
      <c r="B439" s="161">
        <v>40989</v>
      </c>
      <c r="C439" s="12" t="s">
        <v>792</v>
      </c>
      <c r="D439" s="12" t="s">
        <v>797</v>
      </c>
      <c r="E439" s="12" t="s">
        <v>795</v>
      </c>
      <c r="F439" s="12" t="s">
        <v>794</v>
      </c>
      <c r="G439" s="55">
        <v>2730</v>
      </c>
      <c r="H439" s="55">
        <v>7378</v>
      </c>
      <c r="I439" s="2" t="b">
        <f t="shared" si="7"/>
        <v>0</v>
      </c>
    </row>
    <row r="440" spans="2:9" x14ac:dyDescent="0.25">
      <c r="B440" s="161">
        <v>40969</v>
      </c>
      <c r="C440" s="12" t="s">
        <v>805</v>
      </c>
      <c r="D440" s="12" t="s">
        <v>652</v>
      </c>
      <c r="E440" s="12" t="s">
        <v>806</v>
      </c>
      <c r="F440" s="12" t="s">
        <v>799</v>
      </c>
      <c r="G440" s="55">
        <v>1278</v>
      </c>
      <c r="H440" s="55">
        <v>2972</v>
      </c>
      <c r="I440" s="2" t="b">
        <f t="shared" si="7"/>
        <v>0</v>
      </c>
    </row>
    <row r="441" spans="2:9" x14ac:dyDescent="0.25">
      <c r="B441" s="161">
        <v>41432</v>
      </c>
      <c r="C441" s="12" t="s">
        <v>790</v>
      </c>
      <c r="D441" s="12" t="s">
        <v>652</v>
      </c>
      <c r="E441" s="12" t="s">
        <v>607</v>
      </c>
      <c r="F441" s="12" t="s">
        <v>796</v>
      </c>
      <c r="G441" s="55">
        <v>2763</v>
      </c>
      <c r="H441" s="55">
        <v>6141</v>
      </c>
      <c r="I441" s="2" t="b">
        <f t="shared" si="7"/>
        <v>0</v>
      </c>
    </row>
    <row r="442" spans="2:9" x14ac:dyDescent="0.25">
      <c r="B442" s="161">
        <v>41443</v>
      </c>
      <c r="C442" s="12" t="s">
        <v>802</v>
      </c>
      <c r="D442" s="12" t="s">
        <v>797</v>
      </c>
      <c r="E442" s="12" t="s">
        <v>607</v>
      </c>
      <c r="F442" s="12" t="s">
        <v>791</v>
      </c>
      <c r="G442" s="55">
        <v>3853</v>
      </c>
      <c r="H442" s="55">
        <v>8561</v>
      </c>
      <c r="I442" s="2" t="b">
        <f t="shared" si="7"/>
        <v>0</v>
      </c>
    </row>
    <row r="443" spans="2:9" x14ac:dyDescent="0.25">
      <c r="B443" s="161">
        <v>41037</v>
      </c>
      <c r="C443" s="12" t="s">
        <v>805</v>
      </c>
      <c r="D443" s="12" t="s">
        <v>797</v>
      </c>
      <c r="E443" s="12" t="s">
        <v>809</v>
      </c>
      <c r="F443" s="12" t="s">
        <v>796</v>
      </c>
      <c r="G443" s="55">
        <v>2866</v>
      </c>
      <c r="H443" s="55">
        <v>7743</v>
      </c>
      <c r="I443" s="2" t="b">
        <f t="shared" si="7"/>
        <v>0</v>
      </c>
    </row>
    <row r="444" spans="2:9" x14ac:dyDescent="0.25">
      <c r="B444" s="161">
        <v>40946</v>
      </c>
      <c r="C444" s="12" t="s">
        <v>805</v>
      </c>
      <c r="D444" s="12" t="s">
        <v>797</v>
      </c>
      <c r="E444" s="12" t="s">
        <v>487</v>
      </c>
      <c r="F444" s="12" t="s">
        <v>796</v>
      </c>
      <c r="G444" s="55">
        <v>2896</v>
      </c>
      <c r="H444" s="55">
        <v>3097</v>
      </c>
      <c r="I444" s="2" t="b">
        <f t="shared" si="7"/>
        <v>0</v>
      </c>
    </row>
    <row r="445" spans="2:9" x14ac:dyDescent="0.25">
      <c r="B445" s="161">
        <v>41602</v>
      </c>
      <c r="C445" s="12" t="s">
        <v>792</v>
      </c>
      <c r="D445" s="12" t="s">
        <v>801</v>
      </c>
      <c r="E445" s="12" t="s">
        <v>607</v>
      </c>
      <c r="F445" s="12" t="s">
        <v>791</v>
      </c>
      <c r="G445" s="55">
        <v>3068</v>
      </c>
      <c r="H445" s="55">
        <v>5290</v>
      </c>
      <c r="I445" s="2" t="b">
        <f t="shared" si="7"/>
        <v>0</v>
      </c>
    </row>
    <row r="446" spans="2:9" x14ac:dyDescent="0.25">
      <c r="B446" s="161">
        <v>41359</v>
      </c>
      <c r="C446" s="12" t="s">
        <v>792</v>
      </c>
      <c r="D446" s="12" t="s">
        <v>457</v>
      </c>
      <c r="E446" s="12" t="s">
        <v>487</v>
      </c>
      <c r="F446" s="12" t="s">
        <v>791</v>
      </c>
      <c r="G446" s="55">
        <v>721</v>
      </c>
      <c r="H446" s="55">
        <v>1675</v>
      </c>
      <c r="I446" s="2" t="b">
        <f t="shared" si="7"/>
        <v>0</v>
      </c>
    </row>
    <row r="447" spans="2:9" x14ac:dyDescent="0.25">
      <c r="B447" s="161">
        <v>41094</v>
      </c>
      <c r="C447" s="12" t="s">
        <v>805</v>
      </c>
      <c r="D447" s="12" t="s">
        <v>801</v>
      </c>
      <c r="E447" s="12" t="s">
        <v>798</v>
      </c>
      <c r="F447" s="12" t="s">
        <v>791</v>
      </c>
      <c r="G447" s="55">
        <v>2912</v>
      </c>
      <c r="H447" s="55">
        <v>5020</v>
      </c>
      <c r="I447" s="2" t="b">
        <f t="shared" si="7"/>
        <v>0</v>
      </c>
    </row>
    <row r="448" spans="2:9" x14ac:dyDescent="0.25">
      <c r="B448" s="161">
        <v>41066</v>
      </c>
      <c r="C448" s="12" t="s">
        <v>792</v>
      </c>
      <c r="D448" s="12" t="s">
        <v>797</v>
      </c>
      <c r="E448" s="12" t="s">
        <v>807</v>
      </c>
      <c r="F448" s="12" t="s">
        <v>799</v>
      </c>
      <c r="G448" s="55">
        <v>1703</v>
      </c>
      <c r="H448" s="55">
        <v>2885</v>
      </c>
      <c r="I448" s="2" t="b">
        <f t="shared" si="7"/>
        <v>0</v>
      </c>
    </row>
    <row r="449" spans="2:9" x14ac:dyDescent="0.25">
      <c r="B449" s="161">
        <v>41415</v>
      </c>
      <c r="C449" s="12" t="s">
        <v>790</v>
      </c>
      <c r="D449" s="12" t="s">
        <v>801</v>
      </c>
      <c r="E449" s="12" t="s">
        <v>808</v>
      </c>
      <c r="F449" s="12" t="s">
        <v>796</v>
      </c>
      <c r="G449" s="55">
        <v>2149</v>
      </c>
      <c r="H449" s="55">
        <v>5000</v>
      </c>
      <c r="I449" s="2" t="b">
        <f t="shared" si="7"/>
        <v>0</v>
      </c>
    </row>
    <row r="450" spans="2:9" x14ac:dyDescent="0.25">
      <c r="B450" s="161">
        <v>41476</v>
      </c>
      <c r="C450" s="12" t="s">
        <v>805</v>
      </c>
      <c r="D450" s="12" t="s">
        <v>652</v>
      </c>
      <c r="E450" s="12" t="s">
        <v>487</v>
      </c>
      <c r="F450" s="12" t="s">
        <v>796</v>
      </c>
      <c r="G450" s="55">
        <v>6588</v>
      </c>
      <c r="H450" s="55">
        <v>8785</v>
      </c>
      <c r="I450" s="2" t="b">
        <f t="shared" si="7"/>
        <v>0</v>
      </c>
    </row>
    <row r="451" spans="2:9" x14ac:dyDescent="0.25">
      <c r="B451" s="161">
        <v>41546</v>
      </c>
      <c r="C451" s="12" t="s">
        <v>790</v>
      </c>
      <c r="D451" s="12" t="s">
        <v>652</v>
      </c>
      <c r="E451" s="12" t="s">
        <v>798</v>
      </c>
      <c r="F451" s="12" t="s">
        <v>796</v>
      </c>
      <c r="G451" s="55">
        <v>2628</v>
      </c>
      <c r="H451" s="55">
        <v>3863</v>
      </c>
      <c r="I451" s="2" t="b">
        <f t="shared" si="7"/>
        <v>0</v>
      </c>
    </row>
    <row r="452" spans="2:9" x14ac:dyDescent="0.25">
      <c r="B452" s="161">
        <v>41310</v>
      </c>
      <c r="C452" s="12" t="s">
        <v>790</v>
      </c>
      <c r="D452" s="12" t="s">
        <v>652</v>
      </c>
      <c r="E452" s="12" t="s">
        <v>807</v>
      </c>
      <c r="F452" s="12" t="s">
        <v>791</v>
      </c>
      <c r="G452" s="55">
        <v>377</v>
      </c>
      <c r="H452" s="55">
        <v>1016</v>
      </c>
      <c r="I452" s="2" t="b">
        <f t="shared" si="7"/>
        <v>0</v>
      </c>
    </row>
    <row r="453" spans="2:9" x14ac:dyDescent="0.25">
      <c r="B453" s="161">
        <v>40964</v>
      </c>
      <c r="C453" s="12" t="s">
        <v>790</v>
      </c>
      <c r="D453" s="12" t="s">
        <v>457</v>
      </c>
      <c r="E453" s="12" t="s">
        <v>808</v>
      </c>
      <c r="F453" s="12" t="s">
        <v>791</v>
      </c>
      <c r="G453" s="55">
        <v>1515</v>
      </c>
      <c r="H453" s="55">
        <v>4095</v>
      </c>
      <c r="I453" s="2" t="b">
        <f t="shared" si="7"/>
        <v>0</v>
      </c>
    </row>
    <row r="454" spans="2:9" x14ac:dyDescent="0.25">
      <c r="B454" s="161">
        <v>40947</v>
      </c>
      <c r="C454" s="12" t="s">
        <v>802</v>
      </c>
      <c r="D454" s="12" t="s">
        <v>801</v>
      </c>
      <c r="E454" s="12" t="s">
        <v>803</v>
      </c>
      <c r="F454" s="12" t="s">
        <v>794</v>
      </c>
      <c r="G454" s="55">
        <v>3726</v>
      </c>
      <c r="H454" s="55">
        <v>4234</v>
      </c>
      <c r="I454" s="2" t="b">
        <f t="shared" si="7"/>
        <v>0</v>
      </c>
    </row>
    <row r="455" spans="2:9" x14ac:dyDescent="0.25">
      <c r="B455" s="161">
        <v>41474</v>
      </c>
      <c r="C455" s="12" t="s">
        <v>802</v>
      </c>
      <c r="D455" s="12" t="s">
        <v>457</v>
      </c>
      <c r="E455" s="12" t="s">
        <v>806</v>
      </c>
      <c r="F455" s="12" t="s">
        <v>799</v>
      </c>
      <c r="G455" s="55">
        <v>5544</v>
      </c>
      <c r="H455" s="55">
        <v>9556</v>
      </c>
      <c r="I455" s="2" t="b">
        <f t="shared" ref="I455:I518" si="8">AND($K$9=C455,$L$9=D455,$M$9=F455)</f>
        <v>0</v>
      </c>
    </row>
    <row r="456" spans="2:9" x14ac:dyDescent="0.25">
      <c r="B456" s="161">
        <v>41487</v>
      </c>
      <c r="C456" s="12" t="s">
        <v>792</v>
      </c>
      <c r="D456" s="12" t="s">
        <v>801</v>
      </c>
      <c r="E456" s="12" t="s">
        <v>798</v>
      </c>
      <c r="F456" s="12" t="s">
        <v>799</v>
      </c>
      <c r="G456" s="55">
        <v>5949</v>
      </c>
      <c r="H456" s="55">
        <v>7931</v>
      </c>
      <c r="I456" s="2" t="b">
        <f t="shared" si="8"/>
        <v>0</v>
      </c>
    </row>
    <row r="457" spans="2:9" x14ac:dyDescent="0.25">
      <c r="B457" s="161">
        <v>41006</v>
      </c>
      <c r="C457" s="12" t="s">
        <v>790</v>
      </c>
      <c r="D457" s="12" t="s">
        <v>457</v>
      </c>
      <c r="E457" s="12" t="s">
        <v>793</v>
      </c>
      <c r="F457" s="12" t="s">
        <v>791</v>
      </c>
      <c r="G457" s="55">
        <v>5763</v>
      </c>
      <c r="H457" s="55">
        <v>6162</v>
      </c>
      <c r="I457" s="2" t="b">
        <f t="shared" si="8"/>
        <v>0</v>
      </c>
    </row>
    <row r="458" spans="2:9" x14ac:dyDescent="0.25">
      <c r="B458" s="161">
        <v>41025</v>
      </c>
      <c r="C458" s="12" t="s">
        <v>802</v>
      </c>
      <c r="D458" s="12" t="s">
        <v>801</v>
      </c>
      <c r="E458" s="12" t="s">
        <v>808</v>
      </c>
      <c r="F458" s="12" t="s">
        <v>796</v>
      </c>
      <c r="G458" s="55">
        <v>1137</v>
      </c>
      <c r="H458" s="55">
        <v>2527</v>
      </c>
      <c r="I458" s="2" t="b">
        <f t="shared" si="8"/>
        <v>0</v>
      </c>
    </row>
    <row r="459" spans="2:9" x14ac:dyDescent="0.25">
      <c r="B459" s="161">
        <v>41295</v>
      </c>
      <c r="C459" s="12" t="s">
        <v>802</v>
      </c>
      <c r="D459" s="12" t="s">
        <v>801</v>
      </c>
      <c r="E459" s="12" t="s">
        <v>798</v>
      </c>
      <c r="F459" s="12" t="s">
        <v>794</v>
      </c>
      <c r="G459" s="55">
        <v>1884</v>
      </c>
      <c r="H459" s="55">
        <v>5091</v>
      </c>
      <c r="I459" s="2" t="b">
        <f t="shared" si="8"/>
        <v>0</v>
      </c>
    </row>
    <row r="460" spans="2:9" x14ac:dyDescent="0.25">
      <c r="B460" s="161">
        <v>41389</v>
      </c>
      <c r="C460" s="12" t="s">
        <v>805</v>
      </c>
      <c r="D460" s="12" t="s">
        <v>797</v>
      </c>
      <c r="E460" s="12" t="s">
        <v>803</v>
      </c>
      <c r="F460" s="12" t="s">
        <v>799</v>
      </c>
      <c r="G460" s="55">
        <v>8209</v>
      </c>
      <c r="H460" s="55">
        <v>9329</v>
      </c>
      <c r="I460" s="2" t="b">
        <f t="shared" si="8"/>
        <v>0</v>
      </c>
    </row>
    <row r="461" spans="2:9" x14ac:dyDescent="0.25">
      <c r="B461" s="161">
        <v>41087</v>
      </c>
      <c r="C461" s="12" t="s">
        <v>802</v>
      </c>
      <c r="D461" s="12" t="s">
        <v>457</v>
      </c>
      <c r="E461" s="12" t="s">
        <v>798</v>
      </c>
      <c r="F461" s="12" t="s">
        <v>796</v>
      </c>
      <c r="G461" s="55">
        <v>3786</v>
      </c>
      <c r="H461" s="55">
        <v>8803</v>
      </c>
      <c r="I461" s="2" t="b">
        <f t="shared" si="8"/>
        <v>0</v>
      </c>
    </row>
    <row r="462" spans="2:9" x14ac:dyDescent="0.25">
      <c r="B462" s="161">
        <v>41180</v>
      </c>
      <c r="C462" s="12" t="s">
        <v>802</v>
      </c>
      <c r="D462" s="12" t="s">
        <v>797</v>
      </c>
      <c r="E462" s="12" t="s">
        <v>808</v>
      </c>
      <c r="F462" s="12" t="s">
        <v>791</v>
      </c>
      <c r="G462" s="55">
        <v>3581</v>
      </c>
      <c r="H462" s="55">
        <v>7959</v>
      </c>
      <c r="I462" s="2" t="b">
        <f t="shared" si="8"/>
        <v>0</v>
      </c>
    </row>
    <row r="463" spans="2:9" x14ac:dyDescent="0.25">
      <c r="B463" s="161">
        <v>41198</v>
      </c>
      <c r="C463" s="12" t="s">
        <v>790</v>
      </c>
      <c r="D463" s="12" t="s">
        <v>797</v>
      </c>
      <c r="E463" s="12" t="s">
        <v>803</v>
      </c>
      <c r="F463" s="12" t="s">
        <v>791</v>
      </c>
      <c r="G463" s="55">
        <v>3112</v>
      </c>
      <c r="H463" s="55">
        <v>8410</v>
      </c>
      <c r="I463" s="2" t="b">
        <f t="shared" si="8"/>
        <v>0</v>
      </c>
    </row>
    <row r="464" spans="2:9" x14ac:dyDescent="0.25">
      <c r="B464" s="161">
        <v>41312</v>
      </c>
      <c r="C464" s="12" t="s">
        <v>805</v>
      </c>
      <c r="D464" s="12" t="s">
        <v>457</v>
      </c>
      <c r="E464" s="12" t="s">
        <v>798</v>
      </c>
      <c r="F464" s="12" t="s">
        <v>791</v>
      </c>
      <c r="G464" s="55">
        <v>298</v>
      </c>
      <c r="H464" s="55">
        <v>805</v>
      </c>
      <c r="I464" s="2" t="b">
        <f t="shared" si="8"/>
        <v>0</v>
      </c>
    </row>
    <row r="465" spans="2:9" x14ac:dyDescent="0.25">
      <c r="B465" s="161">
        <v>40937</v>
      </c>
      <c r="C465" s="12" t="s">
        <v>790</v>
      </c>
      <c r="D465" s="12" t="s">
        <v>652</v>
      </c>
      <c r="E465" s="12" t="s">
        <v>807</v>
      </c>
      <c r="F465" s="12" t="s">
        <v>799</v>
      </c>
      <c r="G465" s="55">
        <v>5833</v>
      </c>
      <c r="H465" s="55">
        <v>9885</v>
      </c>
      <c r="I465" s="2" t="b">
        <f t="shared" si="8"/>
        <v>0</v>
      </c>
    </row>
    <row r="466" spans="2:9" x14ac:dyDescent="0.25">
      <c r="B466" s="161">
        <v>41053</v>
      </c>
      <c r="C466" s="12" t="s">
        <v>805</v>
      </c>
      <c r="D466" s="12" t="s">
        <v>652</v>
      </c>
      <c r="E466" s="12" t="s">
        <v>487</v>
      </c>
      <c r="F466" s="12" t="s">
        <v>799</v>
      </c>
      <c r="G466" s="55">
        <v>824</v>
      </c>
      <c r="H466" s="55">
        <v>2228</v>
      </c>
      <c r="I466" s="2" t="b">
        <f t="shared" si="8"/>
        <v>0</v>
      </c>
    </row>
    <row r="467" spans="2:9" x14ac:dyDescent="0.25">
      <c r="B467" s="161">
        <v>41426</v>
      </c>
      <c r="C467" s="12" t="s">
        <v>805</v>
      </c>
      <c r="D467" s="12" t="s">
        <v>801</v>
      </c>
      <c r="E467" s="12" t="s">
        <v>607</v>
      </c>
      <c r="F467" s="12" t="s">
        <v>796</v>
      </c>
      <c r="G467" s="55">
        <v>4505</v>
      </c>
      <c r="H467" s="55">
        <v>6006</v>
      </c>
      <c r="I467" s="2" t="b">
        <f t="shared" si="8"/>
        <v>0</v>
      </c>
    </row>
    <row r="468" spans="2:9" x14ac:dyDescent="0.25">
      <c r="B468" s="161">
        <v>40956</v>
      </c>
      <c r="C468" s="12" t="s">
        <v>792</v>
      </c>
      <c r="D468" s="12" t="s">
        <v>801</v>
      </c>
      <c r="E468" s="12" t="s">
        <v>800</v>
      </c>
      <c r="F468" s="12" t="s">
        <v>791</v>
      </c>
      <c r="G468" s="55">
        <v>2866</v>
      </c>
      <c r="H468" s="55">
        <v>6663</v>
      </c>
      <c r="I468" s="2" t="b">
        <f t="shared" si="8"/>
        <v>0</v>
      </c>
    </row>
    <row r="469" spans="2:9" x14ac:dyDescent="0.25">
      <c r="B469" s="161">
        <v>41027</v>
      </c>
      <c r="C469" s="12" t="s">
        <v>790</v>
      </c>
      <c r="D469" s="12" t="s">
        <v>797</v>
      </c>
      <c r="E469" s="12" t="s">
        <v>793</v>
      </c>
      <c r="F469" s="12" t="s">
        <v>794</v>
      </c>
      <c r="G469" s="55">
        <v>3291</v>
      </c>
      <c r="H469" s="55">
        <v>3739</v>
      </c>
      <c r="I469" s="2" t="b">
        <f t="shared" si="8"/>
        <v>0</v>
      </c>
    </row>
    <row r="470" spans="2:9" x14ac:dyDescent="0.25">
      <c r="B470" s="161">
        <v>40950</v>
      </c>
      <c r="C470" s="12" t="s">
        <v>792</v>
      </c>
      <c r="D470" s="12" t="s">
        <v>801</v>
      </c>
      <c r="E470" s="12" t="s">
        <v>803</v>
      </c>
      <c r="F470" s="12" t="s">
        <v>794</v>
      </c>
      <c r="G470" s="55">
        <v>4972</v>
      </c>
      <c r="H470" s="55">
        <v>9040</v>
      </c>
      <c r="I470" s="2" t="b">
        <f t="shared" si="8"/>
        <v>0</v>
      </c>
    </row>
    <row r="471" spans="2:9" x14ac:dyDescent="0.25">
      <c r="B471" s="161">
        <v>40987</v>
      </c>
      <c r="C471" s="12" t="s">
        <v>790</v>
      </c>
      <c r="D471" s="12" t="s">
        <v>797</v>
      </c>
      <c r="E471" s="12" t="s">
        <v>803</v>
      </c>
      <c r="F471" s="12" t="s">
        <v>799</v>
      </c>
      <c r="G471" s="55">
        <v>3435</v>
      </c>
      <c r="H471" s="55">
        <v>4579</v>
      </c>
      <c r="I471" s="2" t="b">
        <f t="shared" si="8"/>
        <v>0</v>
      </c>
    </row>
    <row r="472" spans="2:9" x14ac:dyDescent="0.25">
      <c r="B472" s="161">
        <v>41383</v>
      </c>
      <c r="C472" s="12" t="s">
        <v>802</v>
      </c>
      <c r="D472" s="12" t="s">
        <v>652</v>
      </c>
      <c r="E472" s="12" t="s">
        <v>809</v>
      </c>
      <c r="F472" s="12" t="s">
        <v>791</v>
      </c>
      <c r="G472" s="55">
        <v>1741</v>
      </c>
      <c r="H472" s="55">
        <v>4049</v>
      </c>
      <c r="I472" s="2" t="b">
        <f t="shared" si="8"/>
        <v>0</v>
      </c>
    </row>
    <row r="473" spans="2:9" x14ac:dyDescent="0.25">
      <c r="B473" s="161">
        <v>41369</v>
      </c>
      <c r="C473" s="12" t="s">
        <v>790</v>
      </c>
      <c r="D473" s="12" t="s">
        <v>457</v>
      </c>
      <c r="E473" s="12" t="s">
        <v>793</v>
      </c>
      <c r="F473" s="12" t="s">
        <v>796</v>
      </c>
      <c r="G473" s="55">
        <v>790</v>
      </c>
      <c r="H473" s="55">
        <v>898</v>
      </c>
      <c r="I473" s="2" t="b">
        <f t="shared" si="8"/>
        <v>0</v>
      </c>
    </row>
    <row r="474" spans="2:9" x14ac:dyDescent="0.25">
      <c r="B474" s="161">
        <v>41097</v>
      </c>
      <c r="C474" s="12" t="s">
        <v>802</v>
      </c>
      <c r="D474" s="12" t="s">
        <v>797</v>
      </c>
      <c r="E474" s="12" t="s">
        <v>804</v>
      </c>
      <c r="F474" s="12" t="s">
        <v>791</v>
      </c>
      <c r="G474" s="55">
        <v>3014</v>
      </c>
      <c r="H474" s="55">
        <v>5481</v>
      </c>
      <c r="I474" s="2" t="b">
        <f t="shared" si="8"/>
        <v>0</v>
      </c>
    </row>
    <row r="475" spans="2:9" x14ac:dyDescent="0.25">
      <c r="B475" s="161">
        <v>41006</v>
      </c>
      <c r="C475" s="12" t="s">
        <v>790</v>
      </c>
      <c r="D475" s="12" t="s">
        <v>457</v>
      </c>
      <c r="E475" s="12" t="s">
        <v>807</v>
      </c>
      <c r="F475" s="12" t="s">
        <v>794</v>
      </c>
      <c r="G475" s="55">
        <v>866</v>
      </c>
      <c r="H475" s="55">
        <v>1924</v>
      </c>
      <c r="I475" s="2" t="b">
        <f t="shared" si="8"/>
        <v>0</v>
      </c>
    </row>
    <row r="476" spans="2:9" x14ac:dyDescent="0.25">
      <c r="B476" s="161">
        <v>41034</v>
      </c>
      <c r="C476" s="12" t="s">
        <v>792</v>
      </c>
      <c r="D476" s="12" t="s">
        <v>801</v>
      </c>
      <c r="E476" s="12" t="s">
        <v>793</v>
      </c>
      <c r="F476" s="12" t="s">
        <v>794</v>
      </c>
      <c r="G476" s="55">
        <v>1975</v>
      </c>
      <c r="H476" s="55">
        <v>4593</v>
      </c>
      <c r="I476" s="2" t="b">
        <f t="shared" si="8"/>
        <v>0</v>
      </c>
    </row>
    <row r="477" spans="2:9" x14ac:dyDescent="0.25">
      <c r="B477" s="161">
        <v>41376</v>
      </c>
      <c r="C477" s="12" t="s">
        <v>805</v>
      </c>
      <c r="D477" s="12" t="s">
        <v>457</v>
      </c>
      <c r="E477" s="12" t="s">
        <v>793</v>
      </c>
      <c r="F477" s="12" t="s">
        <v>791</v>
      </c>
      <c r="G477" s="55">
        <v>2523</v>
      </c>
      <c r="H477" s="55">
        <v>5867</v>
      </c>
      <c r="I477" s="2" t="b">
        <f t="shared" si="8"/>
        <v>0</v>
      </c>
    </row>
    <row r="478" spans="2:9" x14ac:dyDescent="0.25">
      <c r="B478" s="161">
        <v>41315</v>
      </c>
      <c r="C478" s="12" t="s">
        <v>805</v>
      </c>
      <c r="D478" s="12" t="s">
        <v>801</v>
      </c>
      <c r="E478" s="12" t="s">
        <v>806</v>
      </c>
      <c r="F478" s="12" t="s">
        <v>791</v>
      </c>
      <c r="G478" s="55">
        <v>5972</v>
      </c>
      <c r="H478" s="55">
        <v>6786</v>
      </c>
      <c r="I478" s="2" t="b">
        <f t="shared" si="8"/>
        <v>0</v>
      </c>
    </row>
    <row r="479" spans="2:9" x14ac:dyDescent="0.25">
      <c r="B479" s="161">
        <v>40964</v>
      </c>
      <c r="C479" s="12" t="s">
        <v>802</v>
      </c>
      <c r="D479" s="12" t="s">
        <v>801</v>
      </c>
      <c r="E479" s="12" t="s">
        <v>807</v>
      </c>
      <c r="F479" s="12" t="s">
        <v>791</v>
      </c>
      <c r="G479" s="55">
        <v>2948</v>
      </c>
      <c r="H479" s="55">
        <v>3152</v>
      </c>
      <c r="I479" s="2" t="b">
        <f t="shared" si="8"/>
        <v>0</v>
      </c>
    </row>
    <row r="480" spans="2:9" x14ac:dyDescent="0.25">
      <c r="B480" s="161">
        <v>40924</v>
      </c>
      <c r="C480" s="12" t="s">
        <v>802</v>
      </c>
      <c r="D480" s="12" t="s">
        <v>652</v>
      </c>
      <c r="E480" s="12" t="s">
        <v>795</v>
      </c>
      <c r="F480" s="12" t="s">
        <v>794</v>
      </c>
      <c r="G480" s="55">
        <v>3469</v>
      </c>
      <c r="H480" s="55">
        <v>6306</v>
      </c>
      <c r="I480" s="2" t="b">
        <f t="shared" si="8"/>
        <v>0</v>
      </c>
    </row>
    <row r="481" spans="2:9" x14ac:dyDescent="0.25">
      <c r="B481" s="161">
        <v>41384</v>
      </c>
      <c r="C481" s="12" t="s">
        <v>805</v>
      </c>
      <c r="D481" s="12" t="s">
        <v>652</v>
      </c>
      <c r="E481" s="12" t="s">
        <v>807</v>
      </c>
      <c r="F481" s="12" t="s">
        <v>794</v>
      </c>
      <c r="G481" s="55">
        <v>5392</v>
      </c>
      <c r="H481" s="55">
        <v>7191</v>
      </c>
      <c r="I481" s="2" t="b">
        <f t="shared" si="8"/>
        <v>0</v>
      </c>
    </row>
    <row r="482" spans="2:9" x14ac:dyDescent="0.25">
      <c r="B482" s="161">
        <v>41622</v>
      </c>
      <c r="C482" s="12" t="s">
        <v>790</v>
      </c>
      <c r="D482" s="12" t="s">
        <v>797</v>
      </c>
      <c r="E482" s="12" t="s">
        <v>808</v>
      </c>
      <c r="F482" s="12" t="s">
        <v>794</v>
      </c>
      <c r="G482" s="55">
        <v>6246</v>
      </c>
      <c r="H482" s="55">
        <v>9185</v>
      </c>
      <c r="I482" s="2" t="b">
        <f t="shared" si="8"/>
        <v>0</v>
      </c>
    </row>
    <row r="483" spans="2:9" x14ac:dyDescent="0.25">
      <c r="B483" s="161">
        <v>41497</v>
      </c>
      <c r="C483" s="12" t="s">
        <v>802</v>
      </c>
      <c r="D483" s="12" t="s">
        <v>797</v>
      </c>
      <c r="E483" s="12" t="s">
        <v>807</v>
      </c>
      <c r="F483" s="12" t="s">
        <v>794</v>
      </c>
      <c r="G483" s="55">
        <v>2585</v>
      </c>
      <c r="H483" s="55">
        <v>2936</v>
      </c>
      <c r="I483" s="2" t="b">
        <f t="shared" si="8"/>
        <v>0</v>
      </c>
    </row>
    <row r="484" spans="2:9" x14ac:dyDescent="0.25">
      <c r="B484" s="161">
        <v>41474</v>
      </c>
      <c r="C484" s="12" t="s">
        <v>805</v>
      </c>
      <c r="D484" s="12" t="s">
        <v>457</v>
      </c>
      <c r="E484" s="12" t="s">
        <v>795</v>
      </c>
      <c r="F484" s="12" t="s">
        <v>794</v>
      </c>
      <c r="G484" s="55">
        <v>1334</v>
      </c>
      <c r="H484" s="55">
        <v>2963</v>
      </c>
      <c r="I484" s="2" t="b">
        <f t="shared" si="8"/>
        <v>0</v>
      </c>
    </row>
    <row r="485" spans="2:9" x14ac:dyDescent="0.25">
      <c r="B485" s="161">
        <v>41599</v>
      </c>
      <c r="C485" s="12" t="s">
        <v>802</v>
      </c>
      <c r="D485" s="12" t="s">
        <v>457</v>
      </c>
      <c r="E485" s="12" t="s">
        <v>807</v>
      </c>
      <c r="F485" s="12" t="s">
        <v>794</v>
      </c>
      <c r="G485" s="55">
        <v>2501</v>
      </c>
      <c r="H485" s="55">
        <v>6760</v>
      </c>
      <c r="I485" s="2" t="b">
        <f t="shared" si="8"/>
        <v>0</v>
      </c>
    </row>
    <row r="486" spans="2:9" x14ac:dyDescent="0.25">
      <c r="B486" s="161">
        <v>41391</v>
      </c>
      <c r="C486" s="12" t="s">
        <v>790</v>
      </c>
      <c r="D486" s="12" t="s">
        <v>457</v>
      </c>
      <c r="E486" s="12" t="s">
        <v>806</v>
      </c>
      <c r="F486" s="12" t="s">
        <v>799</v>
      </c>
      <c r="G486" s="55">
        <v>2388</v>
      </c>
      <c r="H486" s="55">
        <v>2553</v>
      </c>
      <c r="I486" s="2" t="b">
        <f t="shared" si="8"/>
        <v>0</v>
      </c>
    </row>
    <row r="487" spans="2:9" x14ac:dyDescent="0.25">
      <c r="B487" s="161">
        <v>41013</v>
      </c>
      <c r="C487" s="12" t="s">
        <v>805</v>
      </c>
      <c r="D487" s="12" t="s">
        <v>457</v>
      </c>
      <c r="E487" s="12" t="s">
        <v>798</v>
      </c>
      <c r="F487" s="12" t="s">
        <v>794</v>
      </c>
      <c r="G487" s="55">
        <v>5823</v>
      </c>
      <c r="H487" s="55">
        <v>9869</v>
      </c>
      <c r="I487" s="2" t="b">
        <f t="shared" si="8"/>
        <v>0</v>
      </c>
    </row>
    <row r="488" spans="2:9" x14ac:dyDescent="0.25">
      <c r="B488" s="161">
        <v>41170</v>
      </c>
      <c r="C488" s="12" t="s">
        <v>802</v>
      </c>
      <c r="D488" s="12" t="s">
        <v>797</v>
      </c>
      <c r="E488" s="12" t="s">
        <v>806</v>
      </c>
      <c r="F488" s="12" t="s">
        <v>796</v>
      </c>
      <c r="G488" s="55">
        <v>3599</v>
      </c>
      <c r="H488" s="55">
        <v>6205</v>
      </c>
      <c r="I488" s="2" t="b">
        <f t="shared" si="8"/>
        <v>0</v>
      </c>
    </row>
    <row r="489" spans="2:9" x14ac:dyDescent="0.25">
      <c r="B489" s="161">
        <v>41293</v>
      </c>
      <c r="C489" s="12" t="s">
        <v>792</v>
      </c>
      <c r="D489" s="12" t="s">
        <v>652</v>
      </c>
      <c r="E489" s="12" t="s">
        <v>807</v>
      </c>
      <c r="F489" s="12" t="s">
        <v>791</v>
      </c>
      <c r="G489" s="55">
        <v>4428</v>
      </c>
      <c r="H489" s="55">
        <v>7505</v>
      </c>
      <c r="I489" s="2" t="b">
        <f t="shared" si="8"/>
        <v>0</v>
      </c>
    </row>
    <row r="490" spans="2:9" x14ac:dyDescent="0.25">
      <c r="B490" s="161">
        <v>41573</v>
      </c>
      <c r="C490" s="12" t="s">
        <v>805</v>
      </c>
      <c r="D490" s="12" t="s">
        <v>652</v>
      </c>
      <c r="E490" s="12" t="s">
        <v>807</v>
      </c>
      <c r="F490" s="12" t="s">
        <v>791</v>
      </c>
      <c r="G490" s="55">
        <v>2138</v>
      </c>
      <c r="H490" s="55">
        <v>3623</v>
      </c>
      <c r="I490" s="2" t="b">
        <f t="shared" si="8"/>
        <v>0</v>
      </c>
    </row>
    <row r="491" spans="2:9" x14ac:dyDescent="0.25">
      <c r="B491" s="161">
        <v>41546</v>
      </c>
      <c r="C491" s="12" t="s">
        <v>802</v>
      </c>
      <c r="D491" s="12" t="s">
        <v>801</v>
      </c>
      <c r="E491" s="12" t="s">
        <v>607</v>
      </c>
      <c r="F491" s="12" t="s">
        <v>799</v>
      </c>
      <c r="G491" s="55">
        <v>6426</v>
      </c>
      <c r="H491" s="55">
        <v>9448</v>
      </c>
      <c r="I491" s="2" t="b">
        <f t="shared" si="8"/>
        <v>0</v>
      </c>
    </row>
    <row r="492" spans="2:9" x14ac:dyDescent="0.25">
      <c r="B492" s="161">
        <v>41496</v>
      </c>
      <c r="C492" s="12" t="s">
        <v>790</v>
      </c>
      <c r="D492" s="12" t="s">
        <v>652</v>
      </c>
      <c r="E492" s="12" t="s">
        <v>809</v>
      </c>
      <c r="F492" s="12" t="s">
        <v>796</v>
      </c>
      <c r="G492" s="55">
        <v>2141</v>
      </c>
      <c r="H492" s="55">
        <v>3893</v>
      </c>
      <c r="I492" s="2" t="b">
        <f t="shared" si="8"/>
        <v>0</v>
      </c>
    </row>
    <row r="493" spans="2:9" x14ac:dyDescent="0.25">
      <c r="B493" s="161">
        <v>41119</v>
      </c>
      <c r="C493" s="12" t="s">
        <v>805</v>
      </c>
      <c r="D493" s="12" t="s">
        <v>801</v>
      </c>
      <c r="E493" s="12" t="s">
        <v>804</v>
      </c>
      <c r="F493" s="12" t="s">
        <v>796</v>
      </c>
      <c r="G493" s="55">
        <v>966</v>
      </c>
      <c r="H493" s="55">
        <v>1758</v>
      </c>
      <c r="I493" s="2" t="b">
        <f t="shared" si="8"/>
        <v>0</v>
      </c>
    </row>
    <row r="494" spans="2:9" x14ac:dyDescent="0.25">
      <c r="B494" s="161">
        <v>41638</v>
      </c>
      <c r="C494" s="12" t="s">
        <v>790</v>
      </c>
      <c r="D494" s="12" t="s">
        <v>652</v>
      </c>
      <c r="E494" s="12" t="s">
        <v>809</v>
      </c>
      <c r="F494" s="12" t="s">
        <v>791</v>
      </c>
      <c r="G494" s="55">
        <v>1309</v>
      </c>
      <c r="H494" s="55">
        <v>1747</v>
      </c>
      <c r="I494" s="2" t="b">
        <f t="shared" si="8"/>
        <v>0</v>
      </c>
    </row>
    <row r="495" spans="2:9" x14ac:dyDescent="0.25">
      <c r="B495" s="161">
        <v>40948</v>
      </c>
      <c r="C495" s="12" t="s">
        <v>805</v>
      </c>
      <c r="D495" s="12" t="s">
        <v>801</v>
      </c>
      <c r="E495" s="12" t="s">
        <v>798</v>
      </c>
      <c r="F495" s="12" t="s">
        <v>794</v>
      </c>
      <c r="G495" s="55">
        <v>3654</v>
      </c>
      <c r="H495" s="55">
        <v>4873</v>
      </c>
      <c r="I495" s="2" t="b">
        <f t="shared" si="8"/>
        <v>0</v>
      </c>
    </row>
    <row r="496" spans="2:9" x14ac:dyDescent="0.25">
      <c r="B496" s="161">
        <v>41300</v>
      </c>
      <c r="C496" s="12" t="s">
        <v>790</v>
      </c>
      <c r="D496" s="12" t="s">
        <v>457</v>
      </c>
      <c r="E496" s="12" t="s">
        <v>798</v>
      </c>
      <c r="F496" s="12" t="s">
        <v>791</v>
      </c>
      <c r="G496" s="55">
        <v>1406</v>
      </c>
      <c r="H496" s="55">
        <v>3123</v>
      </c>
      <c r="I496" s="2" t="b">
        <f t="shared" si="8"/>
        <v>0</v>
      </c>
    </row>
    <row r="497" spans="2:9" x14ac:dyDescent="0.25">
      <c r="B497" s="161">
        <v>41562</v>
      </c>
      <c r="C497" s="12" t="s">
        <v>792</v>
      </c>
      <c r="D497" s="12" t="s">
        <v>652</v>
      </c>
      <c r="E497" s="12" t="s">
        <v>803</v>
      </c>
      <c r="F497" s="12" t="s">
        <v>791</v>
      </c>
      <c r="G497" s="55">
        <v>58</v>
      </c>
      <c r="H497" s="55">
        <v>75</v>
      </c>
      <c r="I497" s="2" t="b">
        <f t="shared" si="8"/>
        <v>0</v>
      </c>
    </row>
    <row r="498" spans="2:9" x14ac:dyDescent="0.25">
      <c r="B498" s="161">
        <v>41356</v>
      </c>
      <c r="C498" s="12" t="s">
        <v>802</v>
      </c>
      <c r="D498" s="12" t="s">
        <v>797</v>
      </c>
      <c r="E498" s="12" t="s">
        <v>795</v>
      </c>
      <c r="F498" s="12" t="s">
        <v>791</v>
      </c>
      <c r="G498" s="55">
        <v>522</v>
      </c>
      <c r="H498" s="55">
        <v>559</v>
      </c>
      <c r="I498" s="2" t="b">
        <f t="shared" si="8"/>
        <v>0</v>
      </c>
    </row>
    <row r="499" spans="2:9" x14ac:dyDescent="0.25">
      <c r="B499" s="161">
        <v>41182</v>
      </c>
      <c r="C499" s="12" t="s">
        <v>805</v>
      </c>
      <c r="D499" s="12" t="s">
        <v>652</v>
      </c>
      <c r="E499" s="12" t="s">
        <v>803</v>
      </c>
      <c r="F499" s="12" t="s">
        <v>796</v>
      </c>
      <c r="G499" s="55">
        <v>948</v>
      </c>
      <c r="H499" s="55">
        <v>1013</v>
      </c>
      <c r="I499" s="2" t="b">
        <f t="shared" si="8"/>
        <v>0</v>
      </c>
    </row>
    <row r="500" spans="2:9" x14ac:dyDescent="0.25">
      <c r="B500" s="161">
        <v>41509</v>
      </c>
      <c r="C500" s="12" t="s">
        <v>792</v>
      </c>
      <c r="D500" s="12" t="s">
        <v>797</v>
      </c>
      <c r="E500" s="12" t="s">
        <v>807</v>
      </c>
      <c r="F500" s="12" t="s">
        <v>796</v>
      </c>
      <c r="G500" s="55">
        <v>1108</v>
      </c>
      <c r="H500" s="55">
        <v>1477</v>
      </c>
      <c r="I500" s="2" t="b">
        <f t="shared" si="8"/>
        <v>0</v>
      </c>
    </row>
    <row r="501" spans="2:9" x14ac:dyDescent="0.25">
      <c r="B501" s="161">
        <v>40986</v>
      </c>
      <c r="C501" s="12" t="s">
        <v>802</v>
      </c>
      <c r="D501" s="12" t="s">
        <v>797</v>
      </c>
      <c r="E501" s="12" t="s">
        <v>803</v>
      </c>
      <c r="F501" s="12" t="s">
        <v>791</v>
      </c>
      <c r="G501" s="55">
        <v>2602</v>
      </c>
      <c r="H501" s="55">
        <v>2782</v>
      </c>
      <c r="I501" s="2" t="b">
        <f t="shared" si="8"/>
        <v>0</v>
      </c>
    </row>
    <row r="502" spans="2:9" x14ac:dyDescent="0.25">
      <c r="B502" s="161">
        <v>40922</v>
      </c>
      <c r="C502" s="12" t="s">
        <v>805</v>
      </c>
      <c r="D502" s="12" t="s">
        <v>652</v>
      </c>
      <c r="E502" s="12" t="s">
        <v>807</v>
      </c>
      <c r="F502" s="12" t="s">
        <v>799</v>
      </c>
      <c r="G502" s="55">
        <v>6994</v>
      </c>
      <c r="H502" s="55">
        <v>7480</v>
      </c>
      <c r="I502" s="2" t="b">
        <f t="shared" si="8"/>
        <v>0</v>
      </c>
    </row>
    <row r="503" spans="2:9" x14ac:dyDescent="0.25">
      <c r="B503" s="161">
        <v>41260</v>
      </c>
      <c r="C503" s="12" t="s">
        <v>802</v>
      </c>
      <c r="D503" s="12" t="s">
        <v>801</v>
      </c>
      <c r="E503" s="12" t="s">
        <v>807</v>
      </c>
      <c r="F503" s="12" t="s">
        <v>799</v>
      </c>
      <c r="G503" s="55">
        <v>8078</v>
      </c>
      <c r="H503" s="55">
        <v>8640</v>
      </c>
      <c r="I503" s="2" t="b">
        <f t="shared" si="8"/>
        <v>0</v>
      </c>
    </row>
    <row r="504" spans="2:9" x14ac:dyDescent="0.25">
      <c r="B504" s="161">
        <v>41481</v>
      </c>
      <c r="C504" s="12" t="s">
        <v>792</v>
      </c>
      <c r="D504" s="12" t="s">
        <v>801</v>
      </c>
      <c r="E504" s="12" t="s">
        <v>804</v>
      </c>
      <c r="F504" s="12" t="s">
        <v>799</v>
      </c>
      <c r="G504" s="55">
        <v>4286</v>
      </c>
      <c r="H504" s="55">
        <v>9970</v>
      </c>
      <c r="I504" s="2" t="b">
        <f t="shared" si="8"/>
        <v>0</v>
      </c>
    </row>
    <row r="505" spans="2:9" x14ac:dyDescent="0.25">
      <c r="B505" s="161">
        <v>41503</v>
      </c>
      <c r="C505" s="12" t="s">
        <v>802</v>
      </c>
      <c r="D505" s="12" t="s">
        <v>652</v>
      </c>
      <c r="E505" s="12" t="s">
        <v>795</v>
      </c>
      <c r="F505" s="12" t="s">
        <v>794</v>
      </c>
      <c r="G505" s="55">
        <v>1740</v>
      </c>
      <c r="H505" s="55">
        <v>2557</v>
      </c>
      <c r="I505" s="2" t="b">
        <f t="shared" si="8"/>
        <v>0</v>
      </c>
    </row>
    <row r="506" spans="2:9" x14ac:dyDescent="0.25">
      <c r="B506" s="161">
        <v>41205</v>
      </c>
      <c r="C506" s="12" t="s">
        <v>792</v>
      </c>
      <c r="D506" s="12" t="s">
        <v>797</v>
      </c>
      <c r="E506" s="12" t="s">
        <v>804</v>
      </c>
      <c r="F506" s="12" t="s">
        <v>794</v>
      </c>
      <c r="G506" s="55">
        <v>6469</v>
      </c>
      <c r="H506" s="55">
        <v>6918</v>
      </c>
      <c r="I506" s="2" t="b">
        <f t="shared" si="8"/>
        <v>0</v>
      </c>
    </row>
    <row r="507" spans="2:9" x14ac:dyDescent="0.25">
      <c r="B507" s="161">
        <v>41522</v>
      </c>
      <c r="C507" s="12" t="s">
        <v>802</v>
      </c>
      <c r="D507" s="12" t="s">
        <v>457</v>
      </c>
      <c r="E507" s="12" t="s">
        <v>806</v>
      </c>
      <c r="F507" s="12" t="s">
        <v>794</v>
      </c>
      <c r="G507" s="55">
        <v>6650</v>
      </c>
      <c r="H507" s="55">
        <v>8865</v>
      </c>
      <c r="I507" s="2" t="b">
        <f t="shared" si="8"/>
        <v>0</v>
      </c>
    </row>
    <row r="508" spans="2:9" x14ac:dyDescent="0.25">
      <c r="B508" s="161">
        <v>41289</v>
      </c>
      <c r="C508" s="12" t="s">
        <v>805</v>
      </c>
      <c r="D508" s="12" t="s">
        <v>797</v>
      </c>
      <c r="E508" s="12" t="s">
        <v>803</v>
      </c>
      <c r="F508" s="12" t="s">
        <v>799</v>
      </c>
      <c r="G508" s="55">
        <v>79</v>
      </c>
      <c r="H508" s="55">
        <v>184</v>
      </c>
      <c r="I508" s="2" t="b">
        <f t="shared" si="8"/>
        <v>0</v>
      </c>
    </row>
    <row r="509" spans="2:9" x14ac:dyDescent="0.25">
      <c r="B509" s="161">
        <v>41592</v>
      </c>
      <c r="C509" s="12" t="s">
        <v>790</v>
      </c>
      <c r="D509" s="12" t="s">
        <v>797</v>
      </c>
      <c r="E509" s="12" t="s">
        <v>809</v>
      </c>
      <c r="F509" s="12" t="s">
        <v>791</v>
      </c>
      <c r="G509" s="55">
        <v>4520</v>
      </c>
      <c r="H509" s="55">
        <v>6649</v>
      </c>
      <c r="I509" s="2" t="b">
        <f t="shared" si="8"/>
        <v>0</v>
      </c>
    </row>
    <row r="510" spans="2:9" x14ac:dyDescent="0.25">
      <c r="B510" s="161">
        <v>41528</v>
      </c>
      <c r="C510" s="12" t="s">
        <v>792</v>
      </c>
      <c r="D510" s="12" t="s">
        <v>797</v>
      </c>
      <c r="E510" s="12" t="s">
        <v>800</v>
      </c>
      <c r="F510" s="12" t="s">
        <v>799</v>
      </c>
      <c r="G510" s="55">
        <v>46</v>
      </c>
      <c r="H510" s="55">
        <v>78</v>
      </c>
      <c r="I510" s="2" t="b">
        <f t="shared" si="8"/>
        <v>0</v>
      </c>
    </row>
    <row r="511" spans="2:9" x14ac:dyDescent="0.25">
      <c r="B511" s="161">
        <v>41024</v>
      </c>
      <c r="C511" s="12" t="s">
        <v>792</v>
      </c>
      <c r="D511" s="12" t="s">
        <v>797</v>
      </c>
      <c r="E511" s="12" t="s">
        <v>804</v>
      </c>
      <c r="F511" s="12" t="s">
        <v>794</v>
      </c>
      <c r="G511" s="55">
        <v>2700</v>
      </c>
      <c r="H511" s="55">
        <v>3972</v>
      </c>
      <c r="I511" s="2" t="b">
        <f t="shared" si="8"/>
        <v>0</v>
      </c>
    </row>
    <row r="512" spans="2:9" x14ac:dyDescent="0.25">
      <c r="B512" s="161">
        <v>41280</v>
      </c>
      <c r="C512" s="12" t="s">
        <v>805</v>
      </c>
      <c r="D512" s="12" t="s">
        <v>457</v>
      </c>
      <c r="E512" s="12" t="s">
        <v>808</v>
      </c>
      <c r="F512" s="12" t="s">
        <v>794</v>
      </c>
      <c r="G512" s="55">
        <v>8499</v>
      </c>
      <c r="H512" s="55">
        <v>9090</v>
      </c>
      <c r="I512" s="2" t="b">
        <f t="shared" si="8"/>
        <v>0</v>
      </c>
    </row>
    <row r="513" spans="2:9" x14ac:dyDescent="0.25">
      <c r="B513" s="161">
        <v>41202</v>
      </c>
      <c r="C513" s="12" t="s">
        <v>790</v>
      </c>
      <c r="D513" s="12" t="s">
        <v>801</v>
      </c>
      <c r="E513" s="12" t="s">
        <v>800</v>
      </c>
      <c r="F513" s="12" t="s">
        <v>799</v>
      </c>
      <c r="G513" s="55">
        <v>6214</v>
      </c>
      <c r="H513" s="55">
        <v>7062</v>
      </c>
      <c r="I513" s="2" t="b">
        <f t="shared" si="8"/>
        <v>0</v>
      </c>
    </row>
    <row r="514" spans="2:9" x14ac:dyDescent="0.25">
      <c r="B514" s="161">
        <v>41317</v>
      </c>
      <c r="C514" s="12" t="s">
        <v>805</v>
      </c>
      <c r="D514" s="12" t="s">
        <v>797</v>
      </c>
      <c r="E514" s="12" t="s">
        <v>808</v>
      </c>
      <c r="F514" s="12" t="s">
        <v>794</v>
      </c>
      <c r="G514" s="55">
        <v>237</v>
      </c>
      <c r="H514" s="55">
        <v>254</v>
      </c>
      <c r="I514" s="2" t="b">
        <f t="shared" si="8"/>
        <v>0</v>
      </c>
    </row>
    <row r="515" spans="2:9" x14ac:dyDescent="0.25">
      <c r="B515" s="161">
        <v>41486</v>
      </c>
      <c r="C515" s="12" t="s">
        <v>802</v>
      </c>
      <c r="D515" s="12" t="s">
        <v>457</v>
      </c>
      <c r="E515" s="12" t="s">
        <v>809</v>
      </c>
      <c r="F515" s="12" t="s">
        <v>799</v>
      </c>
      <c r="G515" s="55">
        <v>963</v>
      </c>
      <c r="H515" s="55">
        <v>1751</v>
      </c>
      <c r="I515" s="2" t="b">
        <f t="shared" si="8"/>
        <v>0</v>
      </c>
    </row>
    <row r="516" spans="2:9" x14ac:dyDescent="0.25">
      <c r="B516" s="161">
        <v>41169</v>
      </c>
      <c r="C516" s="12" t="s">
        <v>805</v>
      </c>
      <c r="D516" s="12" t="s">
        <v>801</v>
      </c>
      <c r="E516" s="12" t="s">
        <v>804</v>
      </c>
      <c r="F516" s="12" t="s">
        <v>796</v>
      </c>
      <c r="G516" s="55">
        <v>4907</v>
      </c>
      <c r="H516" s="55">
        <v>6543</v>
      </c>
      <c r="I516" s="2" t="b">
        <f t="shared" si="8"/>
        <v>0</v>
      </c>
    </row>
    <row r="517" spans="2:9" x14ac:dyDescent="0.25">
      <c r="B517" s="161">
        <v>41291</v>
      </c>
      <c r="C517" s="12" t="s">
        <v>805</v>
      </c>
      <c r="D517" s="12" t="s">
        <v>801</v>
      </c>
      <c r="E517" s="12" t="s">
        <v>804</v>
      </c>
      <c r="F517" s="12" t="s">
        <v>794</v>
      </c>
      <c r="G517" s="55">
        <v>260</v>
      </c>
      <c r="H517" s="55">
        <v>471</v>
      </c>
      <c r="I517" s="2" t="b">
        <f t="shared" si="8"/>
        <v>0</v>
      </c>
    </row>
    <row r="518" spans="2:9" x14ac:dyDescent="0.25">
      <c r="B518" s="161">
        <v>41480</v>
      </c>
      <c r="C518" s="12" t="s">
        <v>802</v>
      </c>
      <c r="D518" s="12" t="s">
        <v>801</v>
      </c>
      <c r="E518" s="12" t="s">
        <v>795</v>
      </c>
      <c r="F518" s="12" t="s">
        <v>799</v>
      </c>
      <c r="G518" s="55">
        <v>2900</v>
      </c>
      <c r="H518" s="55">
        <v>6742</v>
      </c>
      <c r="I518" s="2" t="b">
        <f t="shared" si="8"/>
        <v>0</v>
      </c>
    </row>
    <row r="519" spans="2:9" x14ac:dyDescent="0.25">
      <c r="B519" s="161">
        <v>41102</v>
      </c>
      <c r="C519" s="12" t="s">
        <v>790</v>
      </c>
      <c r="D519" s="12" t="s">
        <v>797</v>
      </c>
      <c r="E519" s="12" t="s">
        <v>800</v>
      </c>
      <c r="F519" s="12" t="s">
        <v>794</v>
      </c>
      <c r="G519" s="55">
        <v>3654</v>
      </c>
      <c r="H519" s="55">
        <v>9876</v>
      </c>
      <c r="I519" s="2" t="b">
        <f t="shared" ref="I519:I582" si="9">AND($K$9=C519,$L$9=D519,$M$9=F519)</f>
        <v>0</v>
      </c>
    </row>
    <row r="520" spans="2:9" x14ac:dyDescent="0.25">
      <c r="B520" s="161">
        <v>41471</v>
      </c>
      <c r="C520" s="12" t="s">
        <v>792</v>
      </c>
      <c r="D520" s="12" t="s">
        <v>457</v>
      </c>
      <c r="E520" s="12" t="s">
        <v>809</v>
      </c>
      <c r="F520" s="12" t="s">
        <v>799</v>
      </c>
      <c r="G520" s="55">
        <v>6264</v>
      </c>
      <c r="H520" s="55">
        <v>8352</v>
      </c>
      <c r="I520" s="2" t="b">
        <f t="shared" si="9"/>
        <v>0</v>
      </c>
    </row>
    <row r="521" spans="2:9" x14ac:dyDescent="0.25">
      <c r="B521" s="161">
        <v>41092</v>
      </c>
      <c r="C521" s="12" t="s">
        <v>805</v>
      </c>
      <c r="D521" s="12" t="s">
        <v>801</v>
      </c>
      <c r="E521" s="12" t="s">
        <v>807</v>
      </c>
      <c r="F521" s="12" t="s">
        <v>799</v>
      </c>
      <c r="G521" s="55">
        <v>2249</v>
      </c>
      <c r="H521" s="55">
        <v>2556</v>
      </c>
      <c r="I521" s="2" t="b">
        <f t="shared" si="9"/>
        <v>0</v>
      </c>
    </row>
    <row r="522" spans="2:9" x14ac:dyDescent="0.25">
      <c r="B522" s="161">
        <v>41156</v>
      </c>
      <c r="C522" s="12" t="s">
        <v>802</v>
      </c>
      <c r="D522" s="12" t="s">
        <v>797</v>
      </c>
      <c r="E522" s="12" t="s">
        <v>803</v>
      </c>
      <c r="F522" s="12" t="s">
        <v>791</v>
      </c>
      <c r="G522" s="55">
        <v>2357</v>
      </c>
      <c r="H522" s="55">
        <v>5481</v>
      </c>
      <c r="I522" s="2" t="b">
        <f t="shared" si="9"/>
        <v>0</v>
      </c>
    </row>
    <row r="523" spans="2:9" x14ac:dyDescent="0.25">
      <c r="B523" s="161">
        <v>41354</v>
      </c>
      <c r="C523" s="12" t="s">
        <v>792</v>
      </c>
      <c r="D523" s="12" t="s">
        <v>652</v>
      </c>
      <c r="E523" s="12" t="s">
        <v>804</v>
      </c>
      <c r="F523" s="12" t="s">
        <v>799</v>
      </c>
      <c r="G523" s="55">
        <v>4190</v>
      </c>
      <c r="H523" s="55">
        <v>9742</v>
      </c>
      <c r="I523" s="2" t="b">
        <f t="shared" si="9"/>
        <v>0</v>
      </c>
    </row>
    <row r="524" spans="2:9" x14ac:dyDescent="0.25">
      <c r="B524" s="161">
        <v>41591</v>
      </c>
      <c r="C524" s="12" t="s">
        <v>792</v>
      </c>
      <c r="D524" s="12" t="s">
        <v>652</v>
      </c>
      <c r="E524" s="12" t="s">
        <v>806</v>
      </c>
      <c r="F524" s="12" t="s">
        <v>794</v>
      </c>
      <c r="G524" s="55">
        <v>833</v>
      </c>
      <c r="H524" s="55">
        <v>1937</v>
      </c>
      <c r="I524" s="2" t="b">
        <f t="shared" si="9"/>
        <v>0</v>
      </c>
    </row>
    <row r="525" spans="2:9" x14ac:dyDescent="0.25">
      <c r="B525" s="161">
        <v>41110</v>
      </c>
      <c r="C525" s="12" t="s">
        <v>792</v>
      </c>
      <c r="D525" s="12" t="s">
        <v>801</v>
      </c>
      <c r="E525" s="12" t="s">
        <v>607</v>
      </c>
      <c r="F525" s="12" t="s">
        <v>791</v>
      </c>
      <c r="G525" s="55">
        <v>984</v>
      </c>
      <c r="H525" s="55">
        <v>1311</v>
      </c>
      <c r="I525" s="2" t="b">
        <f t="shared" si="9"/>
        <v>0</v>
      </c>
    </row>
    <row r="526" spans="2:9" x14ac:dyDescent="0.25">
      <c r="B526" s="161">
        <v>41372</v>
      </c>
      <c r="C526" s="12" t="s">
        <v>802</v>
      </c>
      <c r="D526" s="12" t="s">
        <v>797</v>
      </c>
      <c r="E526" s="12" t="s">
        <v>803</v>
      </c>
      <c r="F526" s="12" t="s">
        <v>791</v>
      </c>
      <c r="G526" s="55">
        <v>313</v>
      </c>
      <c r="H526" s="55">
        <v>416</v>
      </c>
      <c r="I526" s="2" t="b">
        <f t="shared" si="9"/>
        <v>0</v>
      </c>
    </row>
    <row r="527" spans="2:9" x14ac:dyDescent="0.25">
      <c r="B527" s="161">
        <v>40927</v>
      </c>
      <c r="C527" s="12" t="s">
        <v>790</v>
      </c>
      <c r="D527" s="12" t="s">
        <v>652</v>
      </c>
      <c r="E527" s="12" t="s">
        <v>806</v>
      </c>
      <c r="F527" s="12" t="s">
        <v>796</v>
      </c>
      <c r="G527" s="55">
        <v>1249</v>
      </c>
      <c r="H527" s="55">
        <v>3373</v>
      </c>
      <c r="I527" s="2" t="b">
        <f t="shared" si="9"/>
        <v>0</v>
      </c>
    </row>
    <row r="528" spans="2:9" x14ac:dyDescent="0.25">
      <c r="B528" s="161">
        <v>40913</v>
      </c>
      <c r="C528" s="12" t="s">
        <v>790</v>
      </c>
      <c r="D528" s="12" t="s">
        <v>652</v>
      </c>
      <c r="E528" s="12" t="s">
        <v>798</v>
      </c>
      <c r="F528" s="12" t="s">
        <v>796</v>
      </c>
      <c r="G528" s="55">
        <v>568</v>
      </c>
      <c r="H528" s="55">
        <v>1321</v>
      </c>
      <c r="I528" s="2" t="b">
        <f t="shared" si="9"/>
        <v>0</v>
      </c>
    </row>
    <row r="529" spans="2:9" x14ac:dyDescent="0.25">
      <c r="B529" s="161">
        <v>40989</v>
      </c>
      <c r="C529" s="12" t="s">
        <v>802</v>
      </c>
      <c r="D529" s="12" t="s">
        <v>797</v>
      </c>
      <c r="E529" s="12" t="s">
        <v>795</v>
      </c>
      <c r="F529" s="12" t="s">
        <v>791</v>
      </c>
      <c r="G529" s="55">
        <v>262</v>
      </c>
      <c r="H529" s="55">
        <v>580</v>
      </c>
      <c r="I529" s="2" t="b">
        <f t="shared" si="9"/>
        <v>0</v>
      </c>
    </row>
    <row r="530" spans="2:9" x14ac:dyDescent="0.25">
      <c r="B530" s="161">
        <v>41639</v>
      </c>
      <c r="C530" s="12" t="s">
        <v>805</v>
      </c>
      <c r="D530" s="12" t="s">
        <v>457</v>
      </c>
      <c r="E530" s="12" t="s">
        <v>800</v>
      </c>
      <c r="F530" s="12" t="s">
        <v>794</v>
      </c>
      <c r="G530" s="55">
        <v>8667</v>
      </c>
      <c r="H530" s="55">
        <v>9850</v>
      </c>
      <c r="I530" s="2" t="b">
        <f t="shared" si="9"/>
        <v>0</v>
      </c>
    </row>
    <row r="531" spans="2:9" x14ac:dyDescent="0.25">
      <c r="B531" s="161">
        <v>41615</v>
      </c>
      <c r="C531" s="12" t="s">
        <v>802</v>
      </c>
      <c r="D531" s="12" t="s">
        <v>797</v>
      </c>
      <c r="E531" s="12" t="s">
        <v>795</v>
      </c>
      <c r="F531" s="12" t="s">
        <v>796</v>
      </c>
      <c r="G531" s="55">
        <v>2846</v>
      </c>
      <c r="H531" s="55">
        <v>4824</v>
      </c>
      <c r="I531" s="2" t="b">
        <f t="shared" si="9"/>
        <v>0</v>
      </c>
    </row>
    <row r="532" spans="2:9" x14ac:dyDescent="0.25">
      <c r="B532" s="161">
        <v>40935</v>
      </c>
      <c r="C532" s="12" t="s">
        <v>792</v>
      </c>
      <c r="D532" s="12" t="s">
        <v>797</v>
      </c>
      <c r="E532" s="12" t="s">
        <v>808</v>
      </c>
      <c r="F532" s="12" t="s">
        <v>799</v>
      </c>
      <c r="G532" s="55">
        <v>6013</v>
      </c>
      <c r="H532" s="55">
        <v>6431</v>
      </c>
      <c r="I532" s="2" t="b">
        <f t="shared" si="9"/>
        <v>0</v>
      </c>
    </row>
    <row r="533" spans="2:9" x14ac:dyDescent="0.25">
      <c r="B533" s="161">
        <v>41298</v>
      </c>
      <c r="C533" s="12" t="s">
        <v>792</v>
      </c>
      <c r="D533" s="12" t="s">
        <v>801</v>
      </c>
      <c r="E533" s="12" t="s">
        <v>793</v>
      </c>
      <c r="F533" s="12" t="s">
        <v>791</v>
      </c>
      <c r="G533" s="55">
        <v>115</v>
      </c>
      <c r="H533" s="55">
        <v>254</v>
      </c>
      <c r="I533" s="2" t="b">
        <f t="shared" si="9"/>
        <v>0</v>
      </c>
    </row>
    <row r="534" spans="2:9" x14ac:dyDescent="0.25">
      <c r="B534" s="161">
        <v>41472</v>
      </c>
      <c r="C534" s="12" t="s">
        <v>792</v>
      </c>
      <c r="D534" s="12" t="s">
        <v>801</v>
      </c>
      <c r="E534" s="12" t="s">
        <v>808</v>
      </c>
      <c r="F534" s="12" t="s">
        <v>794</v>
      </c>
      <c r="G534" s="55">
        <v>2341</v>
      </c>
      <c r="H534" s="55">
        <v>3122</v>
      </c>
      <c r="I534" s="2" t="b">
        <f t="shared" si="9"/>
        <v>0</v>
      </c>
    </row>
    <row r="535" spans="2:9" x14ac:dyDescent="0.25">
      <c r="B535" s="161">
        <v>41526</v>
      </c>
      <c r="C535" s="12" t="s">
        <v>802</v>
      </c>
      <c r="D535" s="12" t="s">
        <v>797</v>
      </c>
      <c r="E535" s="12" t="s">
        <v>803</v>
      </c>
      <c r="F535" s="12" t="s">
        <v>794</v>
      </c>
      <c r="G535" s="55">
        <v>9318</v>
      </c>
      <c r="H535" s="55">
        <v>9967</v>
      </c>
      <c r="I535" s="2" t="b">
        <f t="shared" si="9"/>
        <v>0</v>
      </c>
    </row>
    <row r="536" spans="2:9" x14ac:dyDescent="0.25">
      <c r="B536" s="161">
        <v>41520</v>
      </c>
      <c r="C536" s="12" t="s">
        <v>792</v>
      </c>
      <c r="D536" s="12" t="s">
        <v>652</v>
      </c>
      <c r="E536" s="12" t="s">
        <v>803</v>
      </c>
      <c r="F536" s="12" t="s">
        <v>799</v>
      </c>
      <c r="G536" s="55">
        <v>5832</v>
      </c>
      <c r="H536" s="55">
        <v>9885</v>
      </c>
      <c r="I536" s="2" t="b">
        <f t="shared" si="9"/>
        <v>0</v>
      </c>
    </row>
    <row r="537" spans="2:9" x14ac:dyDescent="0.25">
      <c r="B537" s="161">
        <v>40956</v>
      </c>
      <c r="C537" s="12" t="s">
        <v>802</v>
      </c>
      <c r="D537" s="12" t="s">
        <v>457</v>
      </c>
      <c r="E537" s="12" t="s">
        <v>809</v>
      </c>
      <c r="F537" s="12" t="s">
        <v>791</v>
      </c>
      <c r="G537" s="55">
        <v>3002</v>
      </c>
      <c r="H537" s="55">
        <v>4416</v>
      </c>
      <c r="I537" s="2" t="b">
        <f t="shared" si="9"/>
        <v>0</v>
      </c>
    </row>
    <row r="538" spans="2:9" x14ac:dyDescent="0.25">
      <c r="B538" s="161">
        <v>41637</v>
      </c>
      <c r="C538" s="12" t="s">
        <v>802</v>
      </c>
      <c r="D538" s="12" t="s">
        <v>652</v>
      </c>
      <c r="E538" s="12" t="s">
        <v>803</v>
      </c>
      <c r="F538" s="12" t="s">
        <v>796</v>
      </c>
      <c r="G538" s="55">
        <v>6380</v>
      </c>
      <c r="H538" s="55">
        <v>6823</v>
      </c>
      <c r="I538" s="2" t="b">
        <f t="shared" si="9"/>
        <v>0</v>
      </c>
    </row>
    <row r="539" spans="2:9" x14ac:dyDescent="0.25">
      <c r="B539" s="161">
        <v>41148</v>
      </c>
      <c r="C539" s="12" t="s">
        <v>805</v>
      </c>
      <c r="D539" s="12" t="s">
        <v>801</v>
      </c>
      <c r="E539" s="12" t="s">
        <v>803</v>
      </c>
      <c r="F539" s="12" t="s">
        <v>794</v>
      </c>
      <c r="G539" s="55">
        <v>4358</v>
      </c>
      <c r="H539" s="55">
        <v>5810</v>
      </c>
      <c r="I539" s="2" t="b">
        <f t="shared" si="9"/>
        <v>0</v>
      </c>
    </row>
    <row r="540" spans="2:9" x14ac:dyDescent="0.25">
      <c r="B540" s="161">
        <v>41442</v>
      </c>
      <c r="C540" s="12" t="s">
        <v>805</v>
      </c>
      <c r="D540" s="12" t="s">
        <v>801</v>
      </c>
      <c r="E540" s="12" t="s">
        <v>800</v>
      </c>
      <c r="F540" s="12" t="s">
        <v>796</v>
      </c>
      <c r="G540" s="55">
        <v>5774</v>
      </c>
      <c r="H540" s="55">
        <v>8491</v>
      </c>
      <c r="I540" s="2" t="b">
        <f t="shared" si="9"/>
        <v>0</v>
      </c>
    </row>
    <row r="541" spans="2:9" x14ac:dyDescent="0.25">
      <c r="B541" s="161">
        <v>41210</v>
      </c>
      <c r="C541" s="12" t="s">
        <v>790</v>
      </c>
      <c r="D541" s="12" t="s">
        <v>797</v>
      </c>
      <c r="E541" s="12" t="s">
        <v>809</v>
      </c>
      <c r="F541" s="12" t="s">
        <v>799</v>
      </c>
      <c r="G541" s="55">
        <v>1701</v>
      </c>
      <c r="H541" s="55">
        <v>1820</v>
      </c>
      <c r="I541" s="2" t="b">
        <f t="shared" si="9"/>
        <v>0</v>
      </c>
    </row>
    <row r="542" spans="2:9" x14ac:dyDescent="0.25">
      <c r="B542" s="161">
        <v>40975</v>
      </c>
      <c r="C542" s="12" t="s">
        <v>802</v>
      </c>
      <c r="D542" s="12" t="s">
        <v>457</v>
      </c>
      <c r="E542" s="12" t="s">
        <v>803</v>
      </c>
      <c r="F542" s="12" t="s">
        <v>791</v>
      </c>
      <c r="G542" s="55">
        <v>4771</v>
      </c>
      <c r="H542" s="55">
        <v>8225</v>
      </c>
      <c r="I542" s="2" t="b">
        <f t="shared" si="9"/>
        <v>0</v>
      </c>
    </row>
    <row r="543" spans="2:9" x14ac:dyDescent="0.25">
      <c r="B543" s="161">
        <v>41599</v>
      </c>
      <c r="C543" s="12" t="s">
        <v>790</v>
      </c>
      <c r="D543" s="12" t="s">
        <v>457</v>
      </c>
      <c r="E543" s="12" t="s">
        <v>800</v>
      </c>
      <c r="F543" s="12" t="s">
        <v>796</v>
      </c>
      <c r="G543" s="55">
        <v>5031</v>
      </c>
      <c r="H543" s="55">
        <v>8526</v>
      </c>
      <c r="I543" s="2" t="b">
        <f t="shared" si="9"/>
        <v>0</v>
      </c>
    </row>
    <row r="544" spans="2:9" x14ac:dyDescent="0.25">
      <c r="B544" s="161">
        <v>41465</v>
      </c>
      <c r="C544" s="12" t="s">
        <v>802</v>
      </c>
      <c r="D544" s="12" t="s">
        <v>457</v>
      </c>
      <c r="E544" s="12" t="s">
        <v>487</v>
      </c>
      <c r="F544" s="12" t="s">
        <v>794</v>
      </c>
      <c r="G544" s="55">
        <v>3182</v>
      </c>
      <c r="H544" s="55">
        <v>7070</v>
      </c>
      <c r="I544" s="2" t="b">
        <f t="shared" si="9"/>
        <v>0</v>
      </c>
    </row>
    <row r="545" spans="2:9" x14ac:dyDescent="0.25">
      <c r="B545" s="161">
        <v>41483</v>
      </c>
      <c r="C545" s="12" t="s">
        <v>802</v>
      </c>
      <c r="D545" s="12" t="s">
        <v>797</v>
      </c>
      <c r="E545" s="12" t="s">
        <v>800</v>
      </c>
      <c r="F545" s="12" t="s">
        <v>791</v>
      </c>
      <c r="G545" s="55">
        <v>3856</v>
      </c>
      <c r="H545" s="55">
        <v>8968</v>
      </c>
      <c r="I545" s="2" t="b">
        <f t="shared" si="9"/>
        <v>0</v>
      </c>
    </row>
    <row r="546" spans="2:9" x14ac:dyDescent="0.25">
      <c r="B546" s="161">
        <v>41049</v>
      </c>
      <c r="C546" s="12" t="s">
        <v>790</v>
      </c>
      <c r="D546" s="12" t="s">
        <v>652</v>
      </c>
      <c r="E546" s="12" t="s">
        <v>803</v>
      </c>
      <c r="F546" s="12" t="s">
        <v>796</v>
      </c>
      <c r="G546" s="55">
        <v>2951</v>
      </c>
      <c r="H546" s="55">
        <v>7975</v>
      </c>
      <c r="I546" s="2" t="b">
        <f t="shared" si="9"/>
        <v>0</v>
      </c>
    </row>
    <row r="547" spans="2:9" x14ac:dyDescent="0.25">
      <c r="B547" s="161">
        <v>40911</v>
      </c>
      <c r="C547" s="12" t="s">
        <v>792</v>
      </c>
      <c r="D547" s="12" t="s">
        <v>801</v>
      </c>
      <c r="E547" s="12" t="s">
        <v>808</v>
      </c>
      <c r="F547" s="12" t="s">
        <v>799</v>
      </c>
      <c r="G547" s="55">
        <v>855</v>
      </c>
      <c r="H547" s="55">
        <v>2309</v>
      </c>
      <c r="I547" s="2" t="b">
        <f t="shared" si="9"/>
        <v>0</v>
      </c>
    </row>
    <row r="548" spans="2:9" x14ac:dyDescent="0.25">
      <c r="B548" s="161">
        <v>41118</v>
      </c>
      <c r="C548" s="12" t="s">
        <v>805</v>
      </c>
      <c r="D548" s="12" t="s">
        <v>457</v>
      </c>
      <c r="E548" s="12" t="s">
        <v>808</v>
      </c>
      <c r="F548" s="12" t="s">
        <v>791</v>
      </c>
      <c r="G548" s="55">
        <v>1115</v>
      </c>
      <c r="H548" s="55">
        <v>2029</v>
      </c>
      <c r="I548" s="2" t="b">
        <f t="shared" si="9"/>
        <v>0</v>
      </c>
    </row>
    <row r="549" spans="2:9" x14ac:dyDescent="0.25">
      <c r="B549" s="161">
        <v>41042</v>
      </c>
      <c r="C549" s="12" t="s">
        <v>790</v>
      </c>
      <c r="D549" s="12" t="s">
        <v>457</v>
      </c>
      <c r="E549" s="12" t="s">
        <v>793</v>
      </c>
      <c r="F549" s="12" t="s">
        <v>794</v>
      </c>
      <c r="G549" s="55">
        <v>1873</v>
      </c>
      <c r="H549" s="55">
        <v>3407</v>
      </c>
      <c r="I549" s="2" t="b">
        <f t="shared" si="9"/>
        <v>0</v>
      </c>
    </row>
    <row r="550" spans="2:9" x14ac:dyDescent="0.25">
      <c r="B550" s="161">
        <v>40912</v>
      </c>
      <c r="C550" s="12" t="s">
        <v>802</v>
      </c>
      <c r="D550" s="12" t="s">
        <v>797</v>
      </c>
      <c r="E550" s="12" t="s">
        <v>803</v>
      </c>
      <c r="F550" s="12" t="s">
        <v>794</v>
      </c>
      <c r="G550" s="55">
        <v>3443</v>
      </c>
      <c r="H550" s="55">
        <v>8006</v>
      </c>
      <c r="I550" s="2" t="b">
        <f t="shared" si="9"/>
        <v>0</v>
      </c>
    </row>
    <row r="551" spans="2:9" x14ac:dyDescent="0.25">
      <c r="B551" s="161">
        <v>40958</v>
      </c>
      <c r="C551" s="12" t="s">
        <v>805</v>
      </c>
      <c r="D551" s="12" t="s">
        <v>652</v>
      </c>
      <c r="E551" s="12" t="s">
        <v>800</v>
      </c>
      <c r="F551" s="12" t="s">
        <v>796</v>
      </c>
      <c r="G551" s="55">
        <v>2891</v>
      </c>
      <c r="H551" s="55">
        <v>3286</v>
      </c>
      <c r="I551" s="2" t="b">
        <f t="shared" si="9"/>
        <v>0</v>
      </c>
    </row>
    <row r="552" spans="2:9" x14ac:dyDescent="0.25">
      <c r="B552" s="161">
        <v>41038</v>
      </c>
      <c r="C552" s="12" t="s">
        <v>792</v>
      </c>
      <c r="D552" s="12" t="s">
        <v>801</v>
      </c>
      <c r="E552" s="12" t="s">
        <v>809</v>
      </c>
      <c r="F552" s="12" t="s">
        <v>799</v>
      </c>
      <c r="G552" s="55">
        <v>811</v>
      </c>
      <c r="H552" s="55">
        <v>1192</v>
      </c>
      <c r="I552" s="2" t="b">
        <f t="shared" si="9"/>
        <v>0</v>
      </c>
    </row>
    <row r="553" spans="2:9" x14ac:dyDescent="0.25">
      <c r="B553" s="161">
        <v>41508</v>
      </c>
      <c r="C553" s="12" t="s">
        <v>805</v>
      </c>
      <c r="D553" s="12" t="s">
        <v>652</v>
      </c>
      <c r="E553" s="12" t="s">
        <v>800</v>
      </c>
      <c r="F553" s="12" t="s">
        <v>791</v>
      </c>
      <c r="G553" s="55">
        <v>3540</v>
      </c>
      <c r="H553" s="55">
        <v>9566</v>
      </c>
      <c r="I553" s="2" t="b">
        <f t="shared" si="9"/>
        <v>0</v>
      </c>
    </row>
    <row r="554" spans="2:9" x14ac:dyDescent="0.25">
      <c r="B554" s="161">
        <v>41402</v>
      </c>
      <c r="C554" s="12" t="s">
        <v>805</v>
      </c>
      <c r="D554" s="12" t="s">
        <v>457</v>
      </c>
      <c r="E554" s="12" t="s">
        <v>798</v>
      </c>
      <c r="F554" s="12" t="s">
        <v>794</v>
      </c>
      <c r="G554" s="55">
        <v>6255</v>
      </c>
      <c r="H554" s="55">
        <v>8342</v>
      </c>
      <c r="I554" s="2" t="b">
        <f t="shared" si="9"/>
        <v>0</v>
      </c>
    </row>
    <row r="555" spans="2:9" x14ac:dyDescent="0.25">
      <c r="B555" s="161">
        <v>41156</v>
      </c>
      <c r="C555" s="12" t="s">
        <v>792</v>
      </c>
      <c r="D555" s="12" t="s">
        <v>797</v>
      </c>
      <c r="E555" s="12" t="s">
        <v>607</v>
      </c>
      <c r="F555" s="12" t="s">
        <v>796</v>
      </c>
      <c r="G555" s="55">
        <v>2886</v>
      </c>
      <c r="H555" s="55">
        <v>4977</v>
      </c>
      <c r="I555" s="2" t="b">
        <f t="shared" si="9"/>
        <v>0</v>
      </c>
    </row>
    <row r="556" spans="2:9" x14ac:dyDescent="0.25">
      <c r="B556" s="161">
        <v>41272</v>
      </c>
      <c r="C556" s="12" t="s">
        <v>790</v>
      </c>
      <c r="D556" s="12" t="s">
        <v>801</v>
      </c>
      <c r="E556" s="12" t="s">
        <v>808</v>
      </c>
      <c r="F556" s="12" t="s">
        <v>791</v>
      </c>
      <c r="G556" s="55">
        <v>4204</v>
      </c>
      <c r="H556" s="55">
        <v>9778</v>
      </c>
      <c r="I556" s="2" t="b">
        <f t="shared" si="9"/>
        <v>0</v>
      </c>
    </row>
    <row r="557" spans="2:9" x14ac:dyDescent="0.25">
      <c r="B557" s="161">
        <v>41251</v>
      </c>
      <c r="C557" s="12" t="s">
        <v>790</v>
      </c>
      <c r="D557" s="12" t="s">
        <v>652</v>
      </c>
      <c r="E557" s="12" t="s">
        <v>793</v>
      </c>
      <c r="F557" s="12" t="s">
        <v>799</v>
      </c>
      <c r="G557" s="55">
        <v>976</v>
      </c>
      <c r="H557" s="55">
        <v>1682</v>
      </c>
      <c r="I557" s="2" t="b">
        <f t="shared" si="9"/>
        <v>0</v>
      </c>
    </row>
    <row r="558" spans="2:9" x14ac:dyDescent="0.25">
      <c r="B558" s="161">
        <v>41588</v>
      </c>
      <c r="C558" s="12" t="s">
        <v>805</v>
      </c>
      <c r="D558" s="12" t="s">
        <v>652</v>
      </c>
      <c r="E558" s="12" t="s">
        <v>798</v>
      </c>
      <c r="F558" s="12" t="s">
        <v>791</v>
      </c>
      <c r="G558" s="55">
        <v>8312</v>
      </c>
      <c r="H558" s="55">
        <v>9446</v>
      </c>
      <c r="I558" s="2" t="b">
        <f t="shared" si="9"/>
        <v>0</v>
      </c>
    </row>
    <row r="559" spans="2:9" x14ac:dyDescent="0.25">
      <c r="B559" s="161">
        <v>41547</v>
      </c>
      <c r="C559" s="12" t="s">
        <v>805</v>
      </c>
      <c r="D559" s="12" t="s">
        <v>652</v>
      </c>
      <c r="E559" s="12" t="s">
        <v>803</v>
      </c>
      <c r="F559" s="12" t="s">
        <v>791</v>
      </c>
      <c r="G559" s="55">
        <v>2897</v>
      </c>
      <c r="H559" s="55">
        <v>4994</v>
      </c>
      <c r="I559" s="2" t="b">
        <f t="shared" si="9"/>
        <v>0</v>
      </c>
    </row>
    <row r="560" spans="2:9" x14ac:dyDescent="0.25">
      <c r="B560" s="161">
        <v>41511</v>
      </c>
      <c r="C560" s="12" t="s">
        <v>802</v>
      </c>
      <c r="D560" s="12" t="s">
        <v>457</v>
      </c>
      <c r="E560" s="12" t="s">
        <v>795</v>
      </c>
      <c r="F560" s="12" t="s">
        <v>794</v>
      </c>
      <c r="G560" s="55">
        <v>275</v>
      </c>
      <c r="H560" s="55">
        <v>611</v>
      </c>
      <c r="I560" s="2" t="b">
        <f t="shared" si="9"/>
        <v>0</v>
      </c>
    </row>
    <row r="561" spans="2:9" x14ac:dyDescent="0.25">
      <c r="B561" s="161">
        <v>41022</v>
      </c>
      <c r="C561" s="12" t="s">
        <v>805</v>
      </c>
      <c r="D561" s="12" t="s">
        <v>652</v>
      </c>
      <c r="E561" s="12" t="s">
        <v>798</v>
      </c>
      <c r="F561" s="12" t="s">
        <v>796</v>
      </c>
      <c r="G561" s="55">
        <v>3672</v>
      </c>
      <c r="H561" s="55">
        <v>9925</v>
      </c>
      <c r="I561" s="2" t="b">
        <f t="shared" si="9"/>
        <v>0</v>
      </c>
    </row>
    <row r="562" spans="2:9" x14ac:dyDescent="0.25">
      <c r="B562" s="161">
        <v>41350</v>
      </c>
      <c r="C562" s="12" t="s">
        <v>790</v>
      </c>
      <c r="D562" s="12" t="s">
        <v>457</v>
      </c>
      <c r="E562" s="12" t="s">
        <v>804</v>
      </c>
      <c r="F562" s="12" t="s">
        <v>794</v>
      </c>
      <c r="G562" s="55">
        <v>1446</v>
      </c>
      <c r="H562" s="55">
        <v>3907</v>
      </c>
      <c r="I562" s="2" t="b">
        <f t="shared" si="9"/>
        <v>0</v>
      </c>
    </row>
    <row r="563" spans="2:9" x14ac:dyDescent="0.25">
      <c r="B563" s="161">
        <v>41077</v>
      </c>
      <c r="C563" s="12" t="s">
        <v>790</v>
      </c>
      <c r="D563" s="12" t="s">
        <v>797</v>
      </c>
      <c r="E563" s="12" t="s">
        <v>806</v>
      </c>
      <c r="F563" s="12" t="s">
        <v>794</v>
      </c>
      <c r="G563" s="55">
        <v>8272</v>
      </c>
      <c r="H563" s="55">
        <v>9400</v>
      </c>
      <c r="I563" s="2" t="b">
        <f t="shared" si="9"/>
        <v>0</v>
      </c>
    </row>
    <row r="564" spans="2:9" x14ac:dyDescent="0.25">
      <c r="B564" s="161">
        <v>41330</v>
      </c>
      <c r="C564" s="12" t="s">
        <v>802</v>
      </c>
      <c r="D564" s="12" t="s">
        <v>457</v>
      </c>
      <c r="E564" s="12" t="s">
        <v>809</v>
      </c>
      <c r="F564" s="12" t="s">
        <v>796</v>
      </c>
      <c r="G564" s="55">
        <v>3114</v>
      </c>
      <c r="H564" s="55">
        <v>4151</v>
      </c>
      <c r="I564" s="2" t="b">
        <f t="shared" si="9"/>
        <v>0</v>
      </c>
    </row>
    <row r="565" spans="2:9" x14ac:dyDescent="0.25">
      <c r="B565" s="161">
        <v>41549</v>
      </c>
      <c r="C565" s="12" t="s">
        <v>802</v>
      </c>
      <c r="D565" s="12" t="s">
        <v>652</v>
      </c>
      <c r="E565" s="12" t="s">
        <v>806</v>
      </c>
      <c r="F565" s="12" t="s">
        <v>796</v>
      </c>
      <c r="G565" s="55">
        <v>7268</v>
      </c>
      <c r="H565" s="55">
        <v>7772</v>
      </c>
      <c r="I565" s="2" t="b">
        <f t="shared" si="9"/>
        <v>0</v>
      </c>
    </row>
    <row r="566" spans="2:9" x14ac:dyDescent="0.25">
      <c r="B566" s="161">
        <v>41366</v>
      </c>
      <c r="C566" s="12" t="s">
        <v>805</v>
      </c>
      <c r="D566" s="12" t="s">
        <v>801</v>
      </c>
      <c r="E566" s="12" t="s">
        <v>807</v>
      </c>
      <c r="F566" s="12" t="s">
        <v>799</v>
      </c>
      <c r="G566" s="55">
        <v>3065</v>
      </c>
      <c r="H566" s="55">
        <v>8282</v>
      </c>
      <c r="I566" s="2" t="b">
        <f t="shared" si="9"/>
        <v>0</v>
      </c>
    </row>
    <row r="567" spans="2:9" x14ac:dyDescent="0.25">
      <c r="B567" s="161">
        <v>41493</v>
      </c>
      <c r="C567" s="12" t="s">
        <v>802</v>
      </c>
      <c r="D567" s="12" t="s">
        <v>801</v>
      </c>
      <c r="E567" s="12" t="s">
        <v>793</v>
      </c>
      <c r="F567" s="12" t="s">
        <v>796</v>
      </c>
      <c r="G567" s="55">
        <v>4037</v>
      </c>
      <c r="H567" s="55">
        <v>9389</v>
      </c>
      <c r="I567" s="2" t="b">
        <f t="shared" si="9"/>
        <v>0</v>
      </c>
    </row>
    <row r="568" spans="2:9" x14ac:dyDescent="0.25">
      <c r="B568" s="161">
        <v>41435</v>
      </c>
      <c r="C568" s="12" t="s">
        <v>805</v>
      </c>
      <c r="D568" s="12" t="s">
        <v>652</v>
      </c>
      <c r="E568" s="12" t="s">
        <v>806</v>
      </c>
      <c r="F568" s="12" t="s">
        <v>799</v>
      </c>
      <c r="G568" s="55">
        <v>1412</v>
      </c>
      <c r="H568" s="55">
        <v>3283</v>
      </c>
      <c r="I568" s="2" t="b">
        <f t="shared" si="9"/>
        <v>0</v>
      </c>
    </row>
    <row r="569" spans="2:9" x14ac:dyDescent="0.25">
      <c r="B569" s="161">
        <v>40994</v>
      </c>
      <c r="C569" s="12" t="s">
        <v>802</v>
      </c>
      <c r="D569" s="12" t="s">
        <v>652</v>
      </c>
      <c r="E569" s="12" t="s">
        <v>804</v>
      </c>
      <c r="F569" s="12" t="s">
        <v>794</v>
      </c>
      <c r="G569" s="55">
        <v>7341</v>
      </c>
      <c r="H569" s="55">
        <v>9789</v>
      </c>
      <c r="I569" s="2" t="b">
        <f t="shared" si="9"/>
        <v>0</v>
      </c>
    </row>
    <row r="570" spans="2:9" x14ac:dyDescent="0.25">
      <c r="B570" s="161">
        <v>41371</v>
      </c>
      <c r="C570" s="12" t="s">
        <v>790</v>
      </c>
      <c r="D570" s="12" t="s">
        <v>457</v>
      </c>
      <c r="E570" s="12" t="s">
        <v>798</v>
      </c>
      <c r="F570" s="12" t="s">
        <v>799</v>
      </c>
      <c r="G570" s="55">
        <v>3151</v>
      </c>
      <c r="H570" s="55">
        <v>8514</v>
      </c>
      <c r="I570" s="2" t="b">
        <f t="shared" si="9"/>
        <v>0</v>
      </c>
    </row>
    <row r="571" spans="2:9" x14ac:dyDescent="0.25">
      <c r="B571" s="161">
        <v>41023</v>
      </c>
      <c r="C571" s="12" t="s">
        <v>790</v>
      </c>
      <c r="D571" s="12" t="s">
        <v>797</v>
      </c>
      <c r="E571" s="12" t="s">
        <v>487</v>
      </c>
      <c r="F571" s="12" t="s">
        <v>794</v>
      </c>
      <c r="G571" s="55">
        <v>2102</v>
      </c>
      <c r="H571" s="55">
        <v>3090</v>
      </c>
      <c r="I571" s="2" t="b">
        <f t="shared" si="9"/>
        <v>0</v>
      </c>
    </row>
    <row r="572" spans="2:9" x14ac:dyDescent="0.25">
      <c r="B572" s="161">
        <v>40965</v>
      </c>
      <c r="C572" s="12" t="s">
        <v>802</v>
      </c>
      <c r="D572" s="12" t="s">
        <v>801</v>
      </c>
      <c r="E572" s="12" t="s">
        <v>487</v>
      </c>
      <c r="F572" s="12" t="s">
        <v>791</v>
      </c>
      <c r="G572" s="55">
        <v>1411</v>
      </c>
      <c r="H572" s="55">
        <v>1509</v>
      </c>
      <c r="I572" s="2" t="b">
        <f t="shared" si="9"/>
        <v>0</v>
      </c>
    </row>
    <row r="573" spans="2:9" x14ac:dyDescent="0.25">
      <c r="B573" s="161">
        <v>41444</v>
      </c>
      <c r="C573" s="12" t="s">
        <v>802</v>
      </c>
      <c r="D573" s="12" t="s">
        <v>797</v>
      </c>
      <c r="E573" s="12" t="s">
        <v>808</v>
      </c>
      <c r="F573" s="12" t="s">
        <v>794</v>
      </c>
      <c r="G573" s="55">
        <v>1517</v>
      </c>
      <c r="H573" s="55">
        <v>2232</v>
      </c>
      <c r="I573" s="2" t="b">
        <f t="shared" si="9"/>
        <v>0</v>
      </c>
    </row>
    <row r="574" spans="2:9" x14ac:dyDescent="0.25">
      <c r="B574" s="161">
        <v>41064</v>
      </c>
      <c r="C574" s="12" t="s">
        <v>802</v>
      </c>
      <c r="D574" s="12" t="s">
        <v>457</v>
      </c>
      <c r="E574" s="12" t="s">
        <v>804</v>
      </c>
      <c r="F574" s="12" t="s">
        <v>794</v>
      </c>
      <c r="G574" s="55">
        <v>7252</v>
      </c>
      <c r="H574" s="55">
        <v>8241</v>
      </c>
      <c r="I574" s="2" t="b">
        <f t="shared" si="9"/>
        <v>0</v>
      </c>
    </row>
    <row r="575" spans="2:9" x14ac:dyDescent="0.25">
      <c r="B575" s="161">
        <v>41218</v>
      </c>
      <c r="C575" s="12" t="s">
        <v>805</v>
      </c>
      <c r="D575" s="12" t="s">
        <v>457</v>
      </c>
      <c r="E575" s="12" t="s">
        <v>808</v>
      </c>
      <c r="F575" s="12" t="s">
        <v>791</v>
      </c>
      <c r="G575" s="55">
        <v>7262</v>
      </c>
      <c r="H575" s="55">
        <v>8252</v>
      </c>
      <c r="I575" s="2" t="b">
        <f t="shared" si="9"/>
        <v>0</v>
      </c>
    </row>
    <row r="576" spans="2:9" x14ac:dyDescent="0.25">
      <c r="B576" s="161">
        <v>41244</v>
      </c>
      <c r="C576" s="12" t="s">
        <v>802</v>
      </c>
      <c r="D576" s="12" t="s">
        <v>652</v>
      </c>
      <c r="E576" s="12" t="s">
        <v>487</v>
      </c>
      <c r="F576" s="12" t="s">
        <v>791</v>
      </c>
      <c r="G576" s="55">
        <v>5729</v>
      </c>
      <c r="H576" s="55">
        <v>6511</v>
      </c>
      <c r="I576" s="2" t="b">
        <f t="shared" si="9"/>
        <v>0</v>
      </c>
    </row>
    <row r="577" spans="2:9" x14ac:dyDescent="0.25">
      <c r="B577" s="161">
        <v>41634</v>
      </c>
      <c r="C577" s="12" t="s">
        <v>792</v>
      </c>
      <c r="D577" s="12" t="s">
        <v>801</v>
      </c>
      <c r="E577" s="12" t="s">
        <v>806</v>
      </c>
      <c r="F577" s="12" t="s">
        <v>791</v>
      </c>
      <c r="G577" s="55">
        <v>5924</v>
      </c>
      <c r="H577" s="55">
        <v>6336</v>
      </c>
      <c r="I577" s="2" t="b">
        <f t="shared" si="9"/>
        <v>0</v>
      </c>
    </row>
    <row r="578" spans="2:9" x14ac:dyDescent="0.25">
      <c r="B578" s="161">
        <v>41067</v>
      </c>
      <c r="C578" s="12" t="s">
        <v>792</v>
      </c>
      <c r="D578" s="12" t="s">
        <v>457</v>
      </c>
      <c r="E578" s="12" t="s">
        <v>793</v>
      </c>
      <c r="F578" s="12" t="s">
        <v>794</v>
      </c>
      <c r="G578" s="55">
        <v>1156</v>
      </c>
      <c r="H578" s="55">
        <v>1700</v>
      </c>
      <c r="I578" s="2" t="b">
        <f t="shared" si="9"/>
        <v>1</v>
      </c>
    </row>
    <row r="579" spans="2:9" x14ac:dyDescent="0.25">
      <c r="B579" s="161">
        <v>41099</v>
      </c>
      <c r="C579" s="12" t="s">
        <v>790</v>
      </c>
      <c r="D579" s="12" t="s">
        <v>797</v>
      </c>
      <c r="E579" s="12" t="s">
        <v>795</v>
      </c>
      <c r="F579" s="12" t="s">
        <v>799</v>
      </c>
      <c r="G579" s="55">
        <v>1237</v>
      </c>
      <c r="H579" s="55">
        <v>2877</v>
      </c>
      <c r="I579" s="2" t="b">
        <f t="shared" si="9"/>
        <v>0</v>
      </c>
    </row>
    <row r="580" spans="2:9" x14ac:dyDescent="0.25">
      <c r="B580" s="161">
        <v>41335</v>
      </c>
      <c r="C580" s="12" t="s">
        <v>792</v>
      </c>
      <c r="D580" s="12" t="s">
        <v>652</v>
      </c>
      <c r="E580" s="12" t="s">
        <v>806</v>
      </c>
      <c r="F580" s="12" t="s">
        <v>799</v>
      </c>
      <c r="G580" s="55">
        <v>2452</v>
      </c>
      <c r="H580" s="55">
        <v>3604</v>
      </c>
      <c r="I580" s="2" t="b">
        <f t="shared" si="9"/>
        <v>0</v>
      </c>
    </row>
    <row r="581" spans="2:9" x14ac:dyDescent="0.25">
      <c r="B581" s="161">
        <v>40953</v>
      </c>
      <c r="C581" s="12" t="s">
        <v>805</v>
      </c>
      <c r="D581" s="12" t="s">
        <v>457</v>
      </c>
      <c r="E581" s="12" t="s">
        <v>487</v>
      </c>
      <c r="F581" s="12" t="s">
        <v>799</v>
      </c>
      <c r="G581" s="55">
        <v>4802</v>
      </c>
      <c r="H581" s="55">
        <v>7060</v>
      </c>
      <c r="I581" s="2" t="b">
        <f t="shared" si="9"/>
        <v>0</v>
      </c>
    </row>
    <row r="582" spans="2:9" x14ac:dyDescent="0.25">
      <c r="B582" s="161">
        <v>41078</v>
      </c>
      <c r="C582" s="12" t="s">
        <v>790</v>
      </c>
      <c r="D582" s="12" t="s">
        <v>457</v>
      </c>
      <c r="E582" s="12" t="s">
        <v>800</v>
      </c>
      <c r="F582" s="12" t="s">
        <v>799</v>
      </c>
      <c r="G582" s="55">
        <v>1528</v>
      </c>
      <c r="H582" s="55">
        <v>3394</v>
      </c>
      <c r="I582" s="2" t="b">
        <f t="shared" si="9"/>
        <v>0</v>
      </c>
    </row>
    <row r="583" spans="2:9" x14ac:dyDescent="0.25">
      <c r="B583" s="161">
        <v>41099</v>
      </c>
      <c r="C583" s="12" t="s">
        <v>790</v>
      </c>
      <c r="D583" s="12" t="s">
        <v>652</v>
      </c>
      <c r="E583" s="12" t="s">
        <v>798</v>
      </c>
      <c r="F583" s="12" t="s">
        <v>794</v>
      </c>
      <c r="G583" s="55">
        <v>5627</v>
      </c>
      <c r="H583" s="55">
        <v>7503</v>
      </c>
      <c r="I583" s="2" t="b">
        <f t="shared" ref="I583:I646" si="10">AND($K$9=C583,$L$9=D583,$M$9=F583)</f>
        <v>0</v>
      </c>
    </row>
    <row r="584" spans="2:9" x14ac:dyDescent="0.25">
      <c r="B584" s="161">
        <v>40964</v>
      </c>
      <c r="C584" s="12" t="s">
        <v>792</v>
      </c>
      <c r="D584" s="12" t="s">
        <v>801</v>
      </c>
      <c r="E584" s="12" t="s">
        <v>804</v>
      </c>
      <c r="F584" s="12" t="s">
        <v>799</v>
      </c>
      <c r="G584" s="55">
        <v>8385</v>
      </c>
      <c r="H584" s="55">
        <v>9530</v>
      </c>
      <c r="I584" s="2" t="b">
        <f t="shared" si="10"/>
        <v>0</v>
      </c>
    </row>
    <row r="585" spans="2:9" x14ac:dyDescent="0.25">
      <c r="B585" s="161">
        <v>41193</v>
      </c>
      <c r="C585" s="12" t="s">
        <v>802</v>
      </c>
      <c r="D585" s="12" t="s">
        <v>797</v>
      </c>
      <c r="E585" s="12" t="s">
        <v>808</v>
      </c>
      <c r="F585" s="12" t="s">
        <v>796</v>
      </c>
      <c r="G585" s="55">
        <v>397</v>
      </c>
      <c r="H585" s="55">
        <v>721</v>
      </c>
      <c r="I585" s="2" t="b">
        <f t="shared" si="10"/>
        <v>0</v>
      </c>
    </row>
    <row r="586" spans="2:9" x14ac:dyDescent="0.25">
      <c r="B586" s="161">
        <v>41540</v>
      </c>
      <c r="C586" s="12" t="s">
        <v>805</v>
      </c>
      <c r="D586" s="12" t="s">
        <v>801</v>
      </c>
      <c r="E586" s="12" t="s">
        <v>808</v>
      </c>
      <c r="F586" s="12" t="s">
        <v>796</v>
      </c>
      <c r="G586" s="55">
        <v>4441</v>
      </c>
      <c r="H586" s="55">
        <v>8074</v>
      </c>
      <c r="I586" s="2" t="b">
        <f t="shared" si="10"/>
        <v>0</v>
      </c>
    </row>
    <row r="587" spans="2:9" x14ac:dyDescent="0.25">
      <c r="B587" s="161">
        <v>41448</v>
      </c>
      <c r="C587" s="12" t="s">
        <v>792</v>
      </c>
      <c r="D587" s="12" t="s">
        <v>457</v>
      </c>
      <c r="E587" s="12" t="s">
        <v>795</v>
      </c>
      <c r="F587" s="12" t="s">
        <v>796</v>
      </c>
      <c r="G587" s="55">
        <v>777</v>
      </c>
      <c r="H587" s="55">
        <v>1413</v>
      </c>
      <c r="I587" s="2" t="b">
        <f t="shared" si="10"/>
        <v>0</v>
      </c>
    </row>
    <row r="588" spans="2:9" x14ac:dyDescent="0.25">
      <c r="B588" s="161">
        <v>41514</v>
      </c>
      <c r="C588" s="12" t="s">
        <v>792</v>
      </c>
      <c r="D588" s="12" t="s">
        <v>457</v>
      </c>
      <c r="E588" s="12" t="s">
        <v>809</v>
      </c>
      <c r="F588" s="12" t="s">
        <v>794</v>
      </c>
      <c r="G588" s="55">
        <v>2069</v>
      </c>
      <c r="H588" s="55">
        <v>4809</v>
      </c>
      <c r="I588" s="2" t="b">
        <f t="shared" si="10"/>
        <v>1</v>
      </c>
    </row>
    <row r="589" spans="2:9" x14ac:dyDescent="0.25">
      <c r="B589" s="161">
        <v>41046</v>
      </c>
      <c r="C589" s="12" t="s">
        <v>792</v>
      </c>
      <c r="D589" s="12" t="s">
        <v>801</v>
      </c>
      <c r="E589" s="12" t="s">
        <v>798</v>
      </c>
      <c r="F589" s="12" t="s">
        <v>796</v>
      </c>
      <c r="G589" s="55">
        <v>2953</v>
      </c>
      <c r="H589" s="55">
        <v>4343</v>
      </c>
      <c r="I589" s="2" t="b">
        <f t="shared" si="10"/>
        <v>0</v>
      </c>
    </row>
    <row r="590" spans="2:9" x14ac:dyDescent="0.25">
      <c r="B590" s="161">
        <v>41415</v>
      </c>
      <c r="C590" s="12" t="s">
        <v>790</v>
      </c>
      <c r="D590" s="12" t="s">
        <v>457</v>
      </c>
      <c r="E590" s="12" t="s">
        <v>487</v>
      </c>
      <c r="F590" s="12" t="s">
        <v>796</v>
      </c>
      <c r="G590" s="55">
        <v>4150</v>
      </c>
      <c r="H590" s="55">
        <v>7545</v>
      </c>
      <c r="I590" s="2" t="b">
        <f t="shared" si="10"/>
        <v>0</v>
      </c>
    </row>
    <row r="591" spans="2:9" x14ac:dyDescent="0.25">
      <c r="B591" s="161">
        <v>41166</v>
      </c>
      <c r="C591" s="12" t="s">
        <v>805</v>
      </c>
      <c r="D591" s="12" t="s">
        <v>801</v>
      </c>
      <c r="E591" s="12" t="s">
        <v>804</v>
      </c>
      <c r="F591" s="12" t="s">
        <v>794</v>
      </c>
      <c r="G591" s="55">
        <v>8115</v>
      </c>
      <c r="H591" s="55">
        <v>8679</v>
      </c>
      <c r="I591" s="2" t="b">
        <f t="shared" si="10"/>
        <v>0</v>
      </c>
    </row>
    <row r="592" spans="2:9" x14ac:dyDescent="0.25">
      <c r="B592" s="161">
        <v>41234</v>
      </c>
      <c r="C592" s="12" t="s">
        <v>792</v>
      </c>
      <c r="D592" s="12" t="s">
        <v>801</v>
      </c>
      <c r="E592" s="12" t="s">
        <v>798</v>
      </c>
      <c r="F592" s="12" t="s">
        <v>796</v>
      </c>
      <c r="G592" s="55">
        <v>3388</v>
      </c>
      <c r="H592" s="55">
        <v>6159</v>
      </c>
      <c r="I592" s="2" t="b">
        <f t="shared" si="10"/>
        <v>0</v>
      </c>
    </row>
    <row r="593" spans="2:9" x14ac:dyDescent="0.25">
      <c r="B593" s="161">
        <v>41389</v>
      </c>
      <c r="C593" s="12" t="s">
        <v>805</v>
      </c>
      <c r="D593" s="12" t="s">
        <v>797</v>
      </c>
      <c r="E593" s="12" t="s">
        <v>800</v>
      </c>
      <c r="F593" s="12" t="s">
        <v>794</v>
      </c>
      <c r="G593" s="55">
        <v>3392</v>
      </c>
      <c r="H593" s="55">
        <v>6167</v>
      </c>
      <c r="I593" s="2" t="b">
        <f t="shared" si="10"/>
        <v>0</v>
      </c>
    </row>
    <row r="594" spans="2:9" x14ac:dyDescent="0.25">
      <c r="B594" s="161">
        <v>41523</v>
      </c>
      <c r="C594" s="12" t="s">
        <v>792</v>
      </c>
      <c r="D594" s="12" t="s">
        <v>457</v>
      </c>
      <c r="E594" s="12" t="s">
        <v>798</v>
      </c>
      <c r="F594" s="12" t="s">
        <v>791</v>
      </c>
      <c r="G594" s="55">
        <v>4294</v>
      </c>
      <c r="H594" s="55">
        <v>6316</v>
      </c>
      <c r="I594" s="2" t="b">
        <f t="shared" si="10"/>
        <v>0</v>
      </c>
    </row>
    <row r="595" spans="2:9" x14ac:dyDescent="0.25">
      <c r="B595" s="161">
        <v>41198</v>
      </c>
      <c r="C595" s="12" t="s">
        <v>802</v>
      </c>
      <c r="D595" s="12" t="s">
        <v>797</v>
      </c>
      <c r="E595" s="12" t="s">
        <v>798</v>
      </c>
      <c r="F595" s="12" t="s">
        <v>791</v>
      </c>
      <c r="G595" s="55">
        <v>1136</v>
      </c>
      <c r="H595" s="55">
        <v>2640</v>
      </c>
      <c r="I595" s="2" t="b">
        <f t="shared" si="10"/>
        <v>0</v>
      </c>
    </row>
    <row r="596" spans="2:9" x14ac:dyDescent="0.25">
      <c r="B596" s="161">
        <v>41535</v>
      </c>
      <c r="C596" s="12" t="s">
        <v>792</v>
      </c>
      <c r="D596" s="12" t="s">
        <v>457</v>
      </c>
      <c r="E596" s="12" t="s">
        <v>607</v>
      </c>
      <c r="F596" s="12" t="s">
        <v>799</v>
      </c>
      <c r="G596" s="55">
        <v>4375</v>
      </c>
      <c r="H596" s="55">
        <v>7542</v>
      </c>
      <c r="I596" s="2" t="b">
        <f t="shared" si="10"/>
        <v>0</v>
      </c>
    </row>
    <row r="597" spans="2:9" x14ac:dyDescent="0.25">
      <c r="B597" s="161">
        <v>41325</v>
      </c>
      <c r="C597" s="12" t="s">
        <v>790</v>
      </c>
      <c r="D597" s="12" t="s">
        <v>457</v>
      </c>
      <c r="E597" s="12" t="s">
        <v>487</v>
      </c>
      <c r="F597" s="12" t="s">
        <v>796</v>
      </c>
      <c r="G597" s="55">
        <v>1005</v>
      </c>
      <c r="H597" s="55">
        <v>1702</v>
      </c>
      <c r="I597" s="2" t="b">
        <f t="shared" si="10"/>
        <v>0</v>
      </c>
    </row>
    <row r="598" spans="2:9" x14ac:dyDescent="0.25">
      <c r="B598" s="161">
        <v>41638</v>
      </c>
      <c r="C598" s="12" t="s">
        <v>805</v>
      </c>
      <c r="D598" s="12" t="s">
        <v>801</v>
      </c>
      <c r="E598" s="12" t="s">
        <v>798</v>
      </c>
      <c r="F598" s="12" t="s">
        <v>791</v>
      </c>
      <c r="G598" s="55">
        <v>2151</v>
      </c>
      <c r="H598" s="55">
        <v>5003</v>
      </c>
      <c r="I598" s="2" t="b">
        <f t="shared" si="10"/>
        <v>0</v>
      </c>
    </row>
    <row r="599" spans="2:9" x14ac:dyDescent="0.25">
      <c r="B599" s="161">
        <v>41588</v>
      </c>
      <c r="C599" s="12" t="s">
        <v>790</v>
      </c>
      <c r="D599" s="12" t="s">
        <v>797</v>
      </c>
      <c r="E599" s="12" t="s">
        <v>800</v>
      </c>
      <c r="F599" s="12" t="s">
        <v>799</v>
      </c>
      <c r="G599" s="55">
        <v>4551</v>
      </c>
      <c r="H599" s="55">
        <v>8276</v>
      </c>
      <c r="I599" s="2" t="b">
        <f t="shared" si="10"/>
        <v>0</v>
      </c>
    </row>
    <row r="600" spans="2:9" x14ac:dyDescent="0.25">
      <c r="B600" s="161">
        <v>41141</v>
      </c>
      <c r="C600" s="12" t="s">
        <v>792</v>
      </c>
      <c r="D600" s="12" t="s">
        <v>652</v>
      </c>
      <c r="E600" s="12" t="s">
        <v>800</v>
      </c>
      <c r="F600" s="12" t="s">
        <v>799</v>
      </c>
      <c r="G600" s="55">
        <v>4021</v>
      </c>
      <c r="H600" s="55">
        <v>6933</v>
      </c>
      <c r="I600" s="2" t="b">
        <f t="shared" si="10"/>
        <v>0</v>
      </c>
    </row>
    <row r="601" spans="2:9" x14ac:dyDescent="0.25">
      <c r="B601" s="161">
        <v>41391</v>
      </c>
      <c r="C601" s="12" t="s">
        <v>790</v>
      </c>
      <c r="D601" s="12" t="s">
        <v>801</v>
      </c>
      <c r="E601" s="12" t="s">
        <v>487</v>
      </c>
      <c r="F601" s="12" t="s">
        <v>796</v>
      </c>
      <c r="G601" s="55">
        <v>75</v>
      </c>
      <c r="H601" s="55">
        <v>135</v>
      </c>
      <c r="I601" s="2" t="b">
        <f t="shared" si="10"/>
        <v>0</v>
      </c>
    </row>
    <row r="602" spans="2:9" x14ac:dyDescent="0.25">
      <c r="B602" s="161">
        <v>41074</v>
      </c>
      <c r="C602" s="12" t="s">
        <v>802</v>
      </c>
      <c r="D602" s="12" t="s">
        <v>457</v>
      </c>
      <c r="E602" s="12" t="s">
        <v>806</v>
      </c>
      <c r="F602" s="12" t="s">
        <v>799</v>
      </c>
      <c r="G602" s="55">
        <v>2065</v>
      </c>
      <c r="H602" s="55">
        <v>4590</v>
      </c>
      <c r="I602" s="2" t="b">
        <f t="shared" si="10"/>
        <v>0</v>
      </c>
    </row>
    <row r="603" spans="2:9" x14ac:dyDescent="0.25">
      <c r="B603" s="161">
        <v>41026</v>
      </c>
      <c r="C603" s="12" t="s">
        <v>792</v>
      </c>
      <c r="D603" s="12" t="s">
        <v>797</v>
      </c>
      <c r="E603" s="12" t="s">
        <v>793</v>
      </c>
      <c r="F603" s="12" t="s">
        <v>794</v>
      </c>
      <c r="G603" s="55">
        <v>8081</v>
      </c>
      <c r="H603" s="55">
        <v>8642</v>
      </c>
      <c r="I603" s="2" t="b">
        <f t="shared" si="10"/>
        <v>0</v>
      </c>
    </row>
    <row r="604" spans="2:9" x14ac:dyDescent="0.25">
      <c r="B604" s="161">
        <v>41362</v>
      </c>
      <c r="C604" s="12" t="s">
        <v>805</v>
      </c>
      <c r="D604" s="12" t="s">
        <v>457</v>
      </c>
      <c r="E604" s="12" t="s">
        <v>807</v>
      </c>
      <c r="F604" s="12" t="s">
        <v>791</v>
      </c>
      <c r="G604" s="55">
        <v>1930</v>
      </c>
      <c r="H604" s="55">
        <v>4288</v>
      </c>
      <c r="I604" s="2" t="b">
        <f t="shared" si="10"/>
        <v>0</v>
      </c>
    </row>
    <row r="605" spans="2:9" x14ac:dyDescent="0.25">
      <c r="B605" s="161">
        <v>41228</v>
      </c>
      <c r="C605" s="12" t="s">
        <v>790</v>
      </c>
      <c r="D605" s="12" t="s">
        <v>457</v>
      </c>
      <c r="E605" s="12" t="s">
        <v>607</v>
      </c>
      <c r="F605" s="12" t="s">
        <v>799</v>
      </c>
      <c r="G605" s="55">
        <v>2347</v>
      </c>
      <c r="H605" s="55">
        <v>2509</v>
      </c>
      <c r="I605" s="2" t="b">
        <f t="shared" si="10"/>
        <v>0</v>
      </c>
    </row>
    <row r="606" spans="2:9" x14ac:dyDescent="0.25">
      <c r="B606" s="161">
        <v>41293</v>
      </c>
      <c r="C606" s="12" t="s">
        <v>792</v>
      </c>
      <c r="D606" s="12" t="s">
        <v>652</v>
      </c>
      <c r="E606" s="12" t="s">
        <v>795</v>
      </c>
      <c r="F606" s="12" t="s">
        <v>799</v>
      </c>
      <c r="G606" s="55">
        <v>914</v>
      </c>
      <c r="H606" s="55">
        <v>2470</v>
      </c>
      <c r="I606" s="2" t="b">
        <f t="shared" si="10"/>
        <v>0</v>
      </c>
    </row>
    <row r="607" spans="2:9" x14ac:dyDescent="0.25">
      <c r="B607" s="161">
        <v>41213</v>
      </c>
      <c r="C607" s="12" t="s">
        <v>802</v>
      </c>
      <c r="D607" s="12" t="s">
        <v>457</v>
      </c>
      <c r="E607" s="12" t="s">
        <v>806</v>
      </c>
      <c r="F607" s="12" t="s">
        <v>794</v>
      </c>
      <c r="G607" s="55">
        <v>3871</v>
      </c>
      <c r="H607" s="55">
        <v>5162</v>
      </c>
      <c r="I607" s="2" t="b">
        <f t="shared" si="10"/>
        <v>0</v>
      </c>
    </row>
    <row r="608" spans="2:9" x14ac:dyDescent="0.25">
      <c r="B608" s="161">
        <v>40992</v>
      </c>
      <c r="C608" s="12" t="s">
        <v>792</v>
      </c>
      <c r="D608" s="12" t="s">
        <v>801</v>
      </c>
      <c r="E608" s="12" t="s">
        <v>803</v>
      </c>
      <c r="F608" s="12" t="s">
        <v>799</v>
      </c>
      <c r="G608" s="55">
        <v>3541</v>
      </c>
      <c r="H608" s="55">
        <v>6438</v>
      </c>
      <c r="I608" s="2" t="b">
        <f t="shared" si="10"/>
        <v>0</v>
      </c>
    </row>
    <row r="609" spans="2:9" x14ac:dyDescent="0.25">
      <c r="B609" s="161">
        <v>41319</v>
      </c>
      <c r="C609" s="12" t="s">
        <v>805</v>
      </c>
      <c r="D609" s="12" t="s">
        <v>652</v>
      </c>
      <c r="E609" s="12" t="s">
        <v>800</v>
      </c>
      <c r="F609" s="12" t="s">
        <v>796</v>
      </c>
      <c r="G609" s="55">
        <v>1699</v>
      </c>
      <c r="H609" s="55">
        <v>4591</v>
      </c>
      <c r="I609" s="2" t="b">
        <f t="shared" si="10"/>
        <v>0</v>
      </c>
    </row>
    <row r="610" spans="2:9" x14ac:dyDescent="0.25">
      <c r="B610" s="161">
        <v>41489</v>
      </c>
      <c r="C610" s="12" t="s">
        <v>790</v>
      </c>
      <c r="D610" s="12" t="s">
        <v>797</v>
      </c>
      <c r="E610" s="12" t="s">
        <v>808</v>
      </c>
      <c r="F610" s="12" t="s">
        <v>796</v>
      </c>
      <c r="G610" s="55">
        <v>8930</v>
      </c>
      <c r="H610" s="55">
        <v>9551</v>
      </c>
      <c r="I610" s="2" t="b">
        <f t="shared" si="10"/>
        <v>0</v>
      </c>
    </row>
    <row r="611" spans="2:9" x14ac:dyDescent="0.25">
      <c r="B611" s="161">
        <v>41340</v>
      </c>
      <c r="C611" s="12" t="s">
        <v>792</v>
      </c>
      <c r="D611" s="12" t="s">
        <v>801</v>
      </c>
      <c r="E611" s="12" t="s">
        <v>793</v>
      </c>
      <c r="F611" s="12" t="s">
        <v>794</v>
      </c>
      <c r="G611" s="55">
        <v>4071</v>
      </c>
      <c r="H611" s="55">
        <v>7400</v>
      </c>
      <c r="I611" s="2" t="b">
        <f t="shared" si="10"/>
        <v>0</v>
      </c>
    </row>
    <row r="612" spans="2:9" x14ac:dyDescent="0.25">
      <c r="B612" s="161">
        <v>41483</v>
      </c>
      <c r="C612" s="12" t="s">
        <v>802</v>
      </c>
      <c r="D612" s="12" t="s">
        <v>652</v>
      </c>
      <c r="E612" s="12" t="s">
        <v>809</v>
      </c>
      <c r="F612" s="12" t="s">
        <v>791</v>
      </c>
      <c r="G612" s="55">
        <v>500</v>
      </c>
      <c r="H612" s="55">
        <v>568</v>
      </c>
      <c r="I612" s="2" t="b">
        <f t="shared" si="10"/>
        <v>0</v>
      </c>
    </row>
    <row r="613" spans="2:9" x14ac:dyDescent="0.25">
      <c r="B613" s="161">
        <v>41592</v>
      </c>
      <c r="C613" s="12" t="s">
        <v>792</v>
      </c>
      <c r="D613" s="12" t="s">
        <v>801</v>
      </c>
      <c r="E613" s="12" t="s">
        <v>809</v>
      </c>
      <c r="F613" s="12" t="s">
        <v>794</v>
      </c>
      <c r="G613" s="55">
        <v>4295</v>
      </c>
      <c r="H613" s="55">
        <v>5728</v>
      </c>
      <c r="I613" s="2" t="b">
        <f t="shared" si="10"/>
        <v>0</v>
      </c>
    </row>
    <row r="614" spans="2:9" x14ac:dyDescent="0.25">
      <c r="B614" s="161">
        <v>41070</v>
      </c>
      <c r="C614" s="12" t="s">
        <v>805</v>
      </c>
      <c r="D614" s="12" t="s">
        <v>801</v>
      </c>
      <c r="E614" s="12" t="s">
        <v>803</v>
      </c>
      <c r="F614" s="12" t="s">
        <v>799</v>
      </c>
      <c r="G614" s="55">
        <v>2336</v>
      </c>
      <c r="H614" s="55">
        <v>5434</v>
      </c>
      <c r="I614" s="2" t="b">
        <f t="shared" si="10"/>
        <v>0</v>
      </c>
    </row>
    <row r="615" spans="2:9" x14ac:dyDescent="0.25">
      <c r="B615" s="161">
        <v>41376</v>
      </c>
      <c r="C615" s="12" t="s">
        <v>792</v>
      </c>
      <c r="D615" s="12" t="s">
        <v>801</v>
      </c>
      <c r="E615" s="12" t="s">
        <v>800</v>
      </c>
      <c r="F615" s="12" t="s">
        <v>796</v>
      </c>
      <c r="G615" s="55">
        <v>5263</v>
      </c>
      <c r="H615" s="55">
        <v>8919</v>
      </c>
      <c r="I615" s="2" t="b">
        <f t="shared" si="10"/>
        <v>0</v>
      </c>
    </row>
    <row r="616" spans="2:9" x14ac:dyDescent="0.25">
      <c r="B616" s="161">
        <v>41397</v>
      </c>
      <c r="C616" s="12" t="s">
        <v>792</v>
      </c>
      <c r="D616" s="12" t="s">
        <v>801</v>
      </c>
      <c r="E616" s="12" t="s">
        <v>807</v>
      </c>
      <c r="F616" s="12" t="s">
        <v>794</v>
      </c>
      <c r="G616" s="55">
        <v>1677</v>
      </c>
      <c r="H616" s="55">
        <v>3047</v>
      </c>
      <c r="I616" s="2" t="b">
        <f t="shared" si="10"/>
        <v>0</v>
      </c>
    </row>
    <row r="617" spans="2:9" x14ac:dyDescent="0.25">
      <c r="B617" s="161">
        <v>41549</v>
      </c>
      <c r="C617" s="12" t="s">
        <v>792</v>
      </c>
      <c r="D617" s="12" t="s">
        <v>797</v>
      </c>
      <c r="E617" s="12" t="s">
        <v>800</v>
      </c>
      <c r="F617" s="12" t="s">
        <v>799</v>
      </c>
      <c r="G617" s="55">
        <v>1844</v>
      </c>
      <c r="H617" s="55">
        <v>4984</v>
      </c>
      <c r="I617" s="2" t="b">
        <f t="shared" si="10"/>
        <v>0</v>
      </c>
    </row>
    <row r="618" spans="2:9" x14ac:dyDescent="0.25">
      <c r="B618" s="161">
        <v>40910</v>
      </c>
      <c r="C618" s="12" t="s">
        <v>805</v>
      </c>
      <c r="D618" s="12" t="s">
        <v>652</v>
      </c>
      <c r="E618" s="12" t="s">
        <v>800</v>
      </c>
      <c r="F618" s="12" t="s">
        <v>796</v>
      </c>
      <c r="G618" s="55">
        <v>4159</v>
      </c>
      <c r="H618" s="55">
        <v>5545</v>
      </c>
      <c r="I618" s="2" t="b">
        <f t="shared" si="10"/>
        <v>0</v>
      </c>
    </row>
    <row r="619" spans="2:9" x14ac:dyDescent="0.25">
      <c r="B619" s="161">
        <v>41539</v>
      </c>
      <c r="C619" s="12" t="s">
        <v>790</v>
      </c>
      <c r="D619" s="12" t="s">
        <v>652</v>
      </c>
      <c r="E619" s="12" t="s">
        <v>808</v>
      </c>
      <c r="F619" s="12" t="s">
        <v>799</v>
      </c>
      <c r="G619" s="55">
        <v>7161</v>
      </c>
      <c r="H619" s="55">
        <v>8138</v>
      </c>
      <c r="I619" s="2" t="b">
        <f t="shared" si="10"/>
        <v>0</v>
      </c>
    </row>
    <row r="620" spans="2:9" x14ac:dyDescent="0.25">
      <c r="B620" s="161">
        <v>41227</v>
      </c>
      <c r="C620" s="12" t="s">
        <v>792</v>
      </c>
      <c r="D620" s="12" t="s">
        <v>652</v>
      </c>
      <c r="E620" s="12" t="s">
        <v>793</v>
      </c>
      <c r="F620" s="12" t="s">
        <v>794</v>
      </c>
      <c r="G620" s="55">
        <v>30</v>
      </c>
      <c r="H620" s="55">
        <v>48</v>
      </c>
      <c r="I620" s="2" t="b">
        <f t="shared" si="10"/>
        <v>0</v>
      </c>
    </row>
    <row r="621" spans="2:9" x14ac:dyDescent="0.25">
      <c r="B621" s="161">
        <v>40996</v>
      </c>
      <c r="C621" s="12" t="s">
        <v>792</v>
      </c>
      <c r="D621" s="12" t="s">
        <v>801</v>
      </c>
      <c r="E621" s="12" t="s">
        <v>793</v>
      </c>
      <c r="F621" s="12" t="s">
        <v>794</v>
      </c>
      <c r="G621" s="55">
        <v>6103</v>
      </c>
      <c r="H621" s="55">
        <v>6936</v>
      </c>
      <c r="I621" s="2" t="b">
        <f t="shared" si="10"/>
        <v>0</v>
      </c>
    </row>
    <row r="622" spans="2:9" x14ac:dyDescent="0.25">
      <c r="B622" s="161">
        <v>41082</v>
      </c>
      <c r="C622" s="12" t="s">
        <v>792</v>
      </c>
      <c r="D622" s="12" t="s">
        <v>457</v>
      </c>
      <c r="E622" s="12" t="s">
        <v>800</v>
      </c>
      <c r="F622" s="12" t="s">
        <v>791</v>
      </c>
      <c r="G622" s="55">
        <v>1009</v>
      </c>
      <c r="H622" s="55">
        <v>2240</v>
      </c>
      <c r="I622" s="2" t="b">
        <f t="shared" si="10"/>
        <v>0</v>
      </c>
    </row>
    <row r="623" spans="2:9" x14ac:dyDescent="0.25">
      <c r="B623" s="161">
        <v>41468</v>
      </c>
      <c r="C623" s="12" t="s">
        <v>802</v>
      </c>
      <c r="D623" s="12" t="s">
        <v>801</v>
      </c>
      <c r="E623" s="12" t="s">
        <v>804</v>
      </c>
      <c r="F623" s="12" t="s">
        <v>791</v>
      </c>
      <c r="G623" s="55">
        <v>6878</v>
      </c>
      <c r="H623" s="55">
        <v>9172</v>
      </c>
      <c r="I623" s="2" t="b">
        <f t="shared" si="10"/>
        <v>0</v>
      </c>
    </row>
    <row r="624" spans="2:9" x14ac:dyDescent="0.25">
      <c r="B624" s="161">
        <v>41312</v>
      </c>
      <c r="C624" s="12" t="s">
        <v>790</v>
      </c>
      <c r="D624" s="12" t="s">
        <v>652</v>
      </c>
      <c r="E624" s="12" t="s">
        <v>795</v>
      </c>
      <c r="F624" s="12" t="s">
        <v>796</v>
      </c>
      <c r="G624" s="55">
        <v>2179</v>
      </c>
      <c r="H624" s="55">
        <v>4841</v>
      </c>
      <c r="I624" s="2" t="b">
        <f t="shared" si="10"/>
        <v>0</v>
      </c>
    </row>
    <row r="625" spans="2:9" x14ac:dyDescent="0.25">
      <c r="B625" s="161">
        <v>41252</v>
      </c>
      <c r="C625" s="12" t="s">
        <v>805</v>
      </c>
      <c r="D625" s="12" t="s">
        <v>652</v>
      </c>
      <c r="E625" s="12" t="s">
        <v>803</v>
      </c>
      <c r="F625" s="12" t="s">
        <v>791</v>
      </c>
      <c r="G625" s="55">
        <v>3924</v>
      </c>
      <c r="H625" s="55">
        <v>5769</v>
      </c>
      <c r="I625" s="2" t="b">
        <f t="shared" si="10"/>
        <v>0</v>
      </c>
    </row>
    <row r="626" spans="2:9" x14ac:dyDescent="0.25">
      <c r="B626" s="161">
        <v>41446</v>
      </c>
      <c r="C626" s="12" t="s">
        <v>805</v>
      </c>
      <c r="D626" s="12" t="s">
        <v>797</v>
      </c>
      <c r="E626" s="12" t="s">
        <v>806</v>
      </c>
      <c r="F626" s="12" t="s">
        <v>794</v>
      </c>
      <c r="G626" s="55">
        <v>3238</v>
      </c>
      <c r="H626" s="55">
        <v>7530</v>
      </c>
      <c r="I626" s="2" t="b">
        <f t="shared" si="10"/>
        <v>0</v>
      </c>
    </row>
    <row r="627" spans="2:9" x14ac:dyDescent="0.25">
      <c r="B627" s="161">
        <v>41069</v>
      </c>
      <c r="C627" s="12" t="s">
        <v>792</v>
      </c>
      <c r="D627" s="12" t="s">
        <v>797</v>
      </c>
      <c r="E627" s="12" t="s">
        <v>807</v>
      </c>
      <c r="F627" s="12" t="s">
        <v>799</v>
      </c>
      <c r="G627" s="55">
        <v>1201</v>
      </c>
      <c r="H627" s="55">
        <v>3247</v>
      </c>
      <c r="I627" s="2" t="b">
        <f t="shared" si="10"/>
        <v>0</v>
      </c>
    </row>
    <row r="628" spans="2:9" x14ac:dyDescent="0.25">
      <c r="B628" s="161">
        <v>41155</v>
      </c>
      <c r="C628" s="12" t="s">
        <v>790</v>
      </c>
      <c r="D628" s="12" t="s">
        <v>797</v>
      </c>
      <c r="E628" s="12" t="s">
        <v>803</v>
      </c>
      <c r="F628" s="12" t="s">
        <v>794</v>
      </c>
      <c r="G628" s="55">
        <v>2501</v>
      </c>
      <c r="H628" s="55">
        <v>4546</v>
      </c>
      <c r="I628" s="2" t="b">
        <f t="shared" si="10"/>
        <v>0</v>
      </c>
    </row>
    <row r="629" spans="2:9" x14ac:dyDescent="0.25">
      <c r="B629" s="161">
        <v>41289</v>
      </c>
      <c r="C629" s="12" t="s">
        <v>805</v>
      </c>
      <c r="D629" s="12" t="s">
        <v>457</v>
      </c>
      <c r="E629" s="12" t="s">
        <v>809</v>
      </c>
      <c r="F629" s="12" t="s">
        <v>796</v>
      </c>
      <c r="G629" s="55">
        <v>2304</v>
      </c>
      <c r="H629" s="55">
        <v>3073</v>
      </c>
      <c r="I629" s="2" t="b">
        <f t="shared" si="10"/>
        <v>0</v>
      </c>
    </row>
    <row r="630" spans="2:9" x14ac:dyDescent="0.25">
      <c r="B630" s="161">
        <v>41311</v>
      </c>
      <c r="C630" s="12" t="s">
        <v>792</v>
      </c>
      <c r="D630" s="12" t="s">
        <v>797</v>
      </c>
      <c r="E630" s="12" t="s">
        <v>487</v>
      </c>
      <c r="F630" s="12" t="s">
        <v>794</v>
      </c>
      <c r="G630" s="55">
        <v>1617</v>
      </c>
      <c r="H630" s="55">
        <v>3757</v>
      </c>
      <c r="I630" s="2" t="b">
        <f t="shared" si="10"/>
        <v>0</v>
      </c>
    </row>
    <row r="631" spans="2:9" x14ac:dyDescent="0.25">
      <c r="B631" s="161">
        <v>41551</v>
      </c>
      <c r="C631" s="12" t="s">
        <v>805</v>
      </c>
      <c r="D631" s="12" t="s">
        <v>652</v>
      </c>
      <c r="E631" s="12" t="s">
        <v>793</v>
      </c>
      <c r="F631" s="12" t="s">
        <v>794</v>
      </c>
      <c r="G631" s="55">
        <v>5254</v>
      </c>
      <c r="H631" s="55">
        <v>8906</v>
      </c>
      <c r="I631" s="2" t="b">
        <f t="shared" si="10"/>
        <v>0</v>
      </c>
    </row>
    <row r="632" spans="2:9" x14ac:dyDescent="0.25">
      <c r="B632" s="161">
        <v>41084</v>
      </c>
      <c r="C632" s="12" t="s">
        <v>805</v>
      </c>
      <c r="D632" s="12" t="s">
        <v>457</v>
      </c>
      <c r="E632" s="12" t="s">
        <v>487</v>
      </c>
      <c r="F632" s="12" t="s">
        <v>796</v>
      </c>
      <c r="G632" s="55">
        <v>380</v>
      </c>
      <c r="H632" s="55">
        <v>690</v>
      </c>
      <c r="I632" s="2" t="b">
        <f t="shared" si="10"/>
        <v>0</v>
      </c>
    </row>
    <row r="633" spans="2:9" x14ac:dyDescent="0.25">
      <c r="B633" s="161">
        <v>41067</v>
      </c>
      <c r="C633" s="12" t="s">
        <v>802</v>
      </c>
      <c r="D633" s="12" t="s">
        <v>652</v>
      </c>
      <c r="E633" s="12" t="s">
        <v>809</v>
      </c>
      <c r="F633" s="12" t="s">
        <v>794</v>
      </c>
      <c r="G633" s="55">
        <v>3612</v>
      </c>
      <c r="H633" s="55">
        <v>5312</v>
      </c>
      <c r="I633" s="2" t="b">
        <f t="shared" si="10"/>
        <v>0</v>
      </c>
    </row>
    <row r="634" spans="2:9" x14ac:dyDescent="0.25">
      <c r="B634" s="161">
        <v>41513</v>
      </c>
      <c r="C634" s="12" t="s">
        <v>792</v>
      </c>
      <c r="D634" s="12" t="s">
        <v>797</v>
      </c>
      <c r="E634" s="12" t="s">
        <v>808</v>
      </c>
      <c r="F634" s="12" t="s">
        <v>799</v>
      </c>
      <c r="G634" s="55">
        <v>758</v>
      </c>
      <c r="H634" s="55">
        <v>1378</v>
      </c>
      <c r="I634" s="2" t="b">
        <f t="shared" si="10"/>
        <v>0</v>
      </c>
    </row>
    <row r="635" spans="2:9" x14ac:dyDescent="0.25">
      <c r="B635" s="161">
        <v>40956</v>
      </c>
      <c r="C635" s="12" t="s">
        <v>805</v>
      </c>
      <c r="D635" s="12" t="s">
        <v>797</v>
      </c>
      <c r="E635" s="12" t="s">
        <v>807</v>
      </c>
      <c r="F635" s="12" t="s">
        <v>794</v>
      </c>
      <c r="G635" s="55">
        <v>2047</v>
      </c>
      <c r="H635" s="55">
        <v>3467</v>
      </c>
      <c r="I635" s="2" t="b">
        <f t="shared" si="10"/>
        <v>0</v>
      </c>
    </row>
    <row r="636" spans="2:9" x14ac:dyDescent="0.25">
      <c r="B636" s="161">
        <v>41256</v>
      </c>
      <c r="C636" s="12" t="s">
        <v>792</v>
      </c>
      <c r="D636" s="12" t="s">
        <v>797</v>
      </c>
      <c r="E636" s="12" t="s">
        <v>804</v>
      </c>
      <c r="F636" s="12" t="s">
        <v>794</v>
      </c>
      <c r="G636" s="55">
        <v>8046</v>
      </c>
      <c r="H636" s="55">
        <v>8607</v>
      </c>
      <c r="I636" s="2" t="b">
        <f t="shared" si="10"/>
        <v>0</v>
      </c>
    </row>
    <row r="637" spans="2:9" x14ac:dyDescent="0.25">
      <c r="B637" s="161">
        <v>41002</v>
      </c>
      <c r="C637" s="12" t="s">
        <v>792</v>
      </c>
      <c r="D637" s="12" t="s">
        <v>652</v>
      </c>
      <c r="E637" s="12" t="s">
        <v>487</v>
      </c>
      <c r="F637" s="12" t="s">
        <v>796</v>
      </c>
      <c r="G637" s="55">
        <v>3714</v>
      </c>
      <c r="H637" s="55">
        <v>3973</v>
      </c>
      <c r="I637" s="2" t="b">
        <f t="shared" si="10"/>
        <v>0</v>
      </c>
    </row>
    <row r="638" spans="2:9" x14ac:dyDescent="0.25">
      <c r="B638" s="161">
        <v>41156</v>
      </c>
      <c r="C638" s="12" t="s">
        <v>792</v>
      </c>
      <c r="D638" s="12" t="s">
        <v>457</v>
      </c>
      <c r="E638" s="12" t="s">
        <v>607</v>
      </c>
      <c r="F638" s="12" t="s">
        <v>794</v>
      </c>
      <c r="G638" s="55">
        <v>5157</v>
      </c>
      <c r="H638" s="55">
        <v>9377</v>
      </c>
      <c r="I638" s="2" t="b">
        <f t="shared" si="10"/>
        <v>1</v>
      </c>
    </row>
    <row r="639" spans="2:9" x14ac:dyDescent="0.25">
      <c r="B639" s="161">
        <v>41275</v>
      </c>
      <c r="C639" s="12" t="s">
        <v>805</v>
      </c>
      <c r="D639" s="12" t="s">
        <v>801</v>
      </c>
      <c r="E639" s="12" t="s">
        <v>795</v>
      </c>
      <c r="F639" s="12" t="s">
        <v>799</v>
      </c>
      <c r="G639" s="55">
        <v>2791</v>
      </c>
      <c r="H639" s="55">
        <v>4732</v>
      </c>
      <c r="I639" s="2" t="b">
        <f t="shared" si="10"/>
        <v>0</v>
      </c>
    </row>
    <row r="640" spans="2:9" x14ac:dyDescent="0.25">
      <c r="B640" s="161">
        <v>40994</v>
      </c>
      <c r="C640" s="12" t="s">
        <v>802</v>
      </c>
      <c r="D640" s="12" t="s">
        <v>797</v>
      </c>
      <c r="E640" s="12" t="s">
        <v>809</v>
      </c>
      <c r="F640" s="12" t="s">
        <v>794</v>
      </c>
      <c r="G640" s="55">
        <v>2676</v>
      </c>
      <c r="H640" s="55">
        <v>3569</v>
      </c>
      <c r="I640" s="2" t="b">
        <f t="shared" si="10"/>
        <v>0</v>
      </c>
    </row>
    <row r="641" spans="2:9" x14ac:dyDescent="0.25">
      <c r="B641" s="161">
        <v>41514</v>
      </c>
      <c r="C641" s="12" t="s">
        <v>805</v>
      </c>
      <c r="D641" s="12" t="s">
        <v>797</v>
      </c>
      <c r="E641" s="12" t="s">
        <v>808</v>
      </c>
      <c r="F641" s="12" t="s">
        <v>791</v>
      </c>
      <c r="G641" s="55">
        <v>964</v>
      </c>
      <c r="H641" s="55">
        <v>1419</v>
      </c>
      <c r="I641" s="2" t="b">
        <f t="shared" si="10"/>
        <v>0</v>
      </c>
    </row>
    <row r="642" spans="2:9" x14ac:dyDescent="0.25">
      <c r="B642" s="161">
        <v>41034</v>
      </c>
      <c r="C642" s="12" t="s">
        <v>792</v>
      </c>
      <c r="D642" s="12" t="s">
        <v>797</v>
      </c>
      <c r="E642" s="12" t="s">
        <v>809</v>
      </c>
      <c r="F642" s="12" t="s">
        <v>796</v>
      </c>
      <c r="G642" s="55">
        <v>744</v>
      </c>
      <c r="H642" s="55">
        <v>1729</v>
      </c>
      <c r="I642" s="2" t="b">
        <f t="shared" si="10"/>
        <v>0</v>
      </c>
    </row>
    <row r="643" spans="2:9" x14ac:dyDescent="0.25">
      <c r="B643" s="161">
        <v>41138</v>
      </c>
      <c r="C643" s="12" t="s">
        <v>805</v>
      </c>
      <c r="D643" s="12" t="s">
        <v>457</v>
      </c>
      <c r="E643" s="12" t="s">
        <v>795</v>
      </c>
      <c r="F643" s="12" t="s">
        <v>796</v>
      </c>
      <c r="G643" s="55">
        <v>6392</v>
      </c>
      <c r="H643" s="55">
        <v>7263</v>
      </c>
      <c r="I643" s="2" t="b">
        <f t="shared" si="10"/>
        <v>0</v>
      </c>
    </row>
    <row r="644" spans="2:9" x14ac:dyDescent="0.25">
      <c r="B644" s="161">
        <v>41153</v>
      </c>
      <c r="C644" s="12" t="s">
        <v>805</v>
      </c>
      <c r="D644" s="12" t="s">
        <v>801</v>
      </c>
      <c r="E644" s="12" t="s">
        <v>803</v>
      </c>
      <c r="F644" s="12" t="s">
        <v>796</v>
      </c>
      <c r="G644" s="55">
        <v>1617</v>
      </c>
      <c r="H644" s="55">
        <v>1839</v>
      </c>
      <c r="I644" s="2" t="b">
        <f t="shared" si="10"/>
        <v>0</v>
      </c>
    </row>
    <row r="645" spans="2:9" x14ac:dyDescent="0.25">
      <c r="B645" s="161">
        <v>40962</v>
      </c>
      <c r="C645" s="12" t="s">
        <v>792</v>
      </c>
      <c r="D645" s="12" t="s">
        <v>801</v>
      </c>
      <c r="E645" s="12" t="s">
        <v>800</v>
      </c>
      <c r="F645" s="12" t="s">
        <v>794</v>
      </c>
      <c r="G645" s="55">
        <v>2011</v>
      </c>
      <c r="H645" s="55">
        <v>4467</v>
      </c>
      <c r="I645" s="2" t="b">
        <f t="shared" si="10"/>
        <v>0</v>
      </c>
    </row>
    <row r="646" spans="2:9" x14ac:dyDescent="0.25">
      <c r="B646" s="161">
        <v>41069</v>
      </c>
      <c r="C646" s="12" t="s">
        <v>802</v>
      </c>
      <c r="D646" s="12" t="s">
        <v>457</v>
      </c>
      <c r="E646" s="12" t="s">
        <v>804</v>
      </c>
      <c r="F646" s="12" t="s">
        <v>791</v>
      </c>
      <c r="G646" s="55">
        <v>6488</v>
      </c>
      <c r="H646" s="55">
        <v>7372</v>
      </c>
      <c r="I646" s="2" t="b">
        <f t="shared" si="10"/>
        <v>0</v>
      </c>
    </row>
    <row r="647" spans="2:9" x14ac:dyDescent="0.25">
      <c r="B647" s="161">
        <v>41380</v>
      </c>
      <c r="C647" s="12" t="s">
        <v>802</v>
      </c>
      <c r="D647" s="12" t="s">
        <v>652</v>
      </c>
      <c r="E647" s="12" t="s">
        <v>806</v>
      </c>
      <c r="F647" s="12" t="s">
        <v>796</v>
      </c>
      <c r="G647" s="55">
        <v>3496</v>
      </c>
      <c r="H647" s="55">
        <v>7767</v>
      </c>
      <c r="I647" s="2" t="b">
        <f t="shared" ref="I647:I710" si="11">AND($K$9=C647,$L$9=D647,$M$9=F647)</f>
        <v>0</v>
      </c>
    </row>
    <row r="648" spans="2:9" x14ac:dyDescent="0.25">
      <c r="B648" s="161">
        <v>41059</v>
      </c>
      <c r="C648" s="12" t="s">
        <v>805</v>
      </c>
      <c r="D648" s="12" t="s">
        <v>801</v>
      </c>
      <c r="E648" s="12" t="s">
        <v>803</v>
      </c>
      <c r="F648" s="12" t="s">
        <v>794</v>
      </c>
      <c r="G648" s="55">
        <v>223</v>
      </c>
      <c r="H648" s="55">
        <v>495</v>
      </c>
      <c r="I648" s="2" t="b">
        <f t="shared" si="11"/>
        <v>0</v>
      </c>
    </row>
    <row r="649" spans="2:9" x14ac:dyDescent="0.25">
      <c r="B649" s="161">
        <v>41088</v>
      </c>
      <c r="C649" s="12" t="s">
        <v>792</v>
      </c>
      <c r="D649" s="12" t="s">
        <v>457</v>
      </c>
      <c r="E649" s="12" t="s">
        <v>798</v>
      </c>
      <c r="F649" s="12" t="s">
        <v>796</v>
      </c>
      <c r="G649" s="55">
        <v>352</v>
      </c>
      <c r="H649" s="55">
        <v>951</v>
      </c>
      <c r="I649" s="2" t="b">
        <f t="shared" si="11"/>
        <v>0</v>
      </c>
    </row>
    <row r="650" spans="2:9" x14ac:dyDescent="0.25">
      <c r="B650" s="161">
        <v>41122</v>
      </c>
      <c r="C650" s="12" t="s">
        <v>790</v>
      </c>
      <c r="D650" s="12" t="s">
        <v>457</v>
      </c>
      <c r="E650" s="12" t="s">
        <v>808</v>
      </c>
      <c r="F650" s="12" t="s">
        <v>796</v>
      </c>
      <c r="G650" s="55">
        <v>1376</v>
      </c>
      <c r="H650" s="55">
        <v>2022</v>
      </c>
      <c r="I650" s="2" t="b">
        <f t="shared" si="11"/>
        <v>0</v>
      </c>
    </row>
    <row r="651" spans="2:9" x14ac:dyDescent="0.25">
      <c r="B651" s="161">
        <v>41436</v>
      </c>
      <c r="C651" s="12" t="s">
        <v>802</v>
      </c>
      <c r="D651" s="12" t="s">
        <v>652</v>
      </c>
      <c r="E651" s="12" t="s">
        <v>487</v>
      </c>
      <c r="F651" s="12" t="s">
        <v>799</v>
      </c>
      <c r="G651" s="55">
        <v>3428</v>
      </c>
      <c r="H651" s="55">
        <v>5811</v>
      </c>
      <c r="I651" s="2" t="b">
        <f t="shared" si="11"/>
        <v>0</v>
      </c>
    </row>
    <row r="652" spans="2:9" x14ac:dyDescent="0.25">
      <c r="B652" s="161">
        <v>41233</v>
      </c>
      <c r="C652" s="12" t="s">
        <v>802</v>
      </c>
      <c r="D652" s="12" t="s">
        <v>801</v>
      </c>
      <c r="E652" s="12" t="s">
        <v>795</v>
      </c>
      <c r="F652" s="12" t="s">
        <v>796</v>
      </c>
      <c r="G652" s="55">
        <v>4491</v>
      </c>
      <c r="H652" s="55">
        <v>6605</v>
      </c>
      <c r="I652" s="2" t="b">
        <f t="shared" si="11"/>
        <v>0</v>
      </c>
    </row>
    <row r="653" spans="2:9" x14ac:dyDescent="0.25">
      <c r="B653" s="161">
        <v>41126</v>
      </c>
      <c r="C653" s="12" t="s">
        <v>792</v>
      </c>
      <c r="D653" s="12" t="s">
        <v>652</v>
      </c>
      <c r="E653" s="12" t="s">
        <v>808</v>
      </c>
      <c r="F653" s="12" t="s">
        <v>799</v>
      </c>
      <c r="G653" s="55">
        <v>3794</v>
      </c>
      <c r="H653" s="55">
        <v>8823</v>
      </c>
      <c r="I653" s="2" t="b">
        <f t="shared" si="11"/>
        <v>0</v>
      </c>
    </row>
    <row r="654" spans="2:9" x14ac:dyDescent="0.25">
      <c r="B654" s="161">
        <v>41011</v>
      </c>
      <c r="C654" s="12" t="s">
        <v>805</v>
      </c>
      <c r="D654" s="12" t="s">
        <v>457</v>
      </c>
      <c r="E654" s="12" t="s">
        <v>487</v>
      </c>
      <c r="F654" s="12" t="s">
        <v>794</v>
      </c>
      <c r="G654" s="55">
        <v>4868</v>
      </c>
      <c r="H654" s="55">
        <v>8391</v>
      </c>
      <c r="I654" s="2" t="b">
        <f t="shared" si="11"/>
        <v>0</v>
      </c>
    </row>
    <row r="655" spans="2:9" x14ac:dyDescent="0.25">
      <c r="B655" s="161">
        <v>41611</v>
      </c>
      <c r="C655" s="12" t="s">
        <v>790</v>
      </c>
      <c r="D655" s="12" t="s">
        <v>457</v>
      </c>
      <c r="E655" s="12" t="s">
        <v>800</v>
      </c>
      <c r="F655" s="12" t="s">
        <v>794</v>
      </c>
      <c r="G655" s="55">
        <v>1515</v>
      </c>
      <c r="H655" s="55">
        <v>2228</v>
      </c>
      <c r="I655" s="2" t="b">
        <f t="shared" si="11"/>
        <v>0</v>
      </c>
    </row>
    <row r="656" spans="2:9" x14ac:dyDescent="0.25">
      <c r="B656" s="161">
        <v>41247</v>
      </c>
      <c r="C656" s="12" t="s">
        <v>802</v>
      </c>
      <c r="D656" s="12" t="s">
        <v>801</v>
      </c>
      <c r="E656" s="12" t="s">
        <v>798</v>
      </c>
      <c r="F656" s="12" t="s">
        <v>796</v>
      </c>
      <c r="G656" s="55">
        <v>2742</v>
      </c>
      <c r="H656" s="55">
        <v>6092</v>
      </c>
      <c r="I656" s="2" t="b">
        <f t="shared" si="11"/>
        <v>0</v>
      </c>
    </row>
    <row r="657" spans="2:9" x14ac:dyDescent="0.25">
      <c r="B657" s="161">
        <v>41525</v>
      </c>
      <c r="C657" s="12" t="s">
        <v>792</v>
      </c>
      <c r="D657" s="12" t="s">
        <v>457</v>
      </c>
      <c r="E657" s="12" t="s">
        <v>803</v>
      </c>
      <c r="F657" s="12" t="s">
        <v>791</v>
      </c>
      <c r="G657" s="55">
        <v>1160</v>
      </c>
      <c r="H657" s="55">
        <v>2698</v>
      </c>
      <c r="I657" s="2" t="b">
        <f t="shared" si="11"/>
        <v>0</v>
      </c>
    </row>
    <row r="658" spans="2:9" x14ac:dyDescent="0.25">
      <c r="B658" s="161">
        <v>41136</v>
      </c>
      <c r="C658" s="12" t="s">
        <v>790</v>
      </c>
      <c r="D658" s="12" t="s">
        <v>652</v>
      </c>
      <c r="E658" s="12" t="s">
        <v>809</v>
      </c>
      <c r="F658" s="12" t="s">
        <v>799</v>
      </c>
      <c r="G658" s="55">
        <v>3746</v>
      </c>
      <c r="H658" s="55">
        <v>8713</v>
      </c>
      <c r="I658" s="2" t="b">
        <f t="shared" si="11"/>
        <v>0</v>
      </c>
    </row>
    <row r="659" spans="2:9" x14ac:dyDescent="0.25">
      <c r="B659" s="161">
        <v>41428</v>
      </c>
      <c r="C659" s="12" t="s">
        <v>792</v>
      </c>
      <c r="D659" s="12" t="s">
        <v>797</v>
      </c>
      <c r="E659" s="12" t="s">
        <v>806</v>
      </c>
      <c r="F659" s="12" t="s">
        <v>791</v>
      </c>
      <c r="G659" s="55">
        <v>4050</v>
      </c>
      <c r="H659" s="55">
        <v>9421</v>
      </c>
      <c r="I659" s="2" t="b">
        <f t="shared" si="11"/>
        <v>0</v>
      </c>
    </row>
    <row r="660" spans="2:9" x14ac:dyDescent="0.25">
      <c r="B660" s="161">
        <v>41294</v>
      </c>
      <c r="C660" s="12" t="s">
        <v>790</v>
      </c>
      <c r="D660" s="12" t="s">
        <v>652</v>
      </c>
      <c r="E660" s="12" t="s">
        <v>809</v>
      </c>
      <c r="F660" s="12" t="s">
        <v>794</v>
      </c>
      <c r="G660" s="55">
        <v>468</v>
      </c>
      <c r="H660" s="55">
        <v>1086</v>
      </c>
      <c r="I660" s="2" t="b">
        <f t="shared" si="11"/>
        <v>0</v>
      </c>
    </row>
    <row r="661" spans="2:9" x14ac:dyDescent="0.25">
      <c r="B661" s="161">
        <v>41542</v>
      </c>
      <c r="C661" s="12" t="s">
        <v>790</v>
      </c>
      <c r="D661" s="12" t="s">
        <v>652</v>
      </c>
      <c r="E661" s="12" t="s">
        <v>798</v>
      </c>
      <c r="F661" s="12" t="s">
        <v>791</v>
      </c>
      <c r="G661" s="55">
        <v>2642</v>
      </c>
      <c r="H661" s="55">
        <v>5871</v>
      </c>
      <c r="I661" s="2" t="b">
        <f t="shared" si="11"/>
        <v>0</v>
      </c>
    </row>
    <row r="662" spans="2:9" x14ac:dyDescent="0.25">
      <c r="B662" s="161">
        <v>41048</v>
      </c>
      <c r="C662" s="12" t="s">
        <v>802</v>
      </c>
      <c r="D662" s="12" t="s">
        <v>797</v>
      </c>
      <c r="E662" s="12" t="s">
        <v>795</v>
      </c>
      <c r="F662" s="12" t="s">
        <v>791</v>
      </c>
      <c r="G662" s="55">
        <v>1531</v>
      </c>
      <c r="H662" s="55">
        <v>3402</v>
      </c>
      <c r="I662" s="2" t="b">
        <f t="shared" si="11"/>
        <v>0</v>
      </c>
    </row>
    <row r="663" spans="2:9" x14ac:dyDescent="0.25">
      <c r="B663" s="161">
        <v>41575</v>
      </c>
      <c r="C663" s="12" t="s">
        <v>792</v>
      </c>
      <c r="D663" s="12" t="s">
        <v>801</v>
      </c>
      <c r="E663" s="12" t="s">
        <v>808</v>
      </c>
      <c r="F663" s="12" t="s">
        <v>791</v>
      </c>
      <c r="G663" s="55">
        <v>499</v>
      </c>
      <c r="H663" s="55">
        <v>1109</v>
      </c>
      <c r="I663" s="2" t="b">
        <f t="shared" si="11"/>
        <v>0</v>
      </c>
    </row>
    <row r="664" spans="2:9" x14ac:dyDescent="0.25">
      <c r="B664" s="161">
        <v>41349</v>
      </c>
      <c r="C664" s="12" t="s">
        <v>792</v>
      </c>
      <c r="D664" s="12" t="s">
        <v>797</v>
      </c>
      <c r="E664" s="12" t="s">
        <v>804</v>
      </c>
      <c r="F664" s="12" t="s">
        <v>791</v>
      </c>
      <c r="G664" s="55">
        <v>3494</v>
      </c>
      <c r="H664" s="55">
        <v>7766</v>
      </c>
      <c r="I664" s="2" t="b">
        <f t="shared" si="11"/>
        <v>0</v>
      </c>
    </row>
    <row r="665" spans="2:9" x14ac:dyDescent="0.25">
      <c r="B665" s="161">
        <v>41182</v>
      </c>
      <c r="C665" s="12" t="s">
        <v>792</v>
      </c>
      <c r="D665" s="12" t="s">
        <v>797</v>
      </c>
      <c r="E665" s="12" t="s">
        <v>803</v>
      </c>
      <c r="F665" s="12" t="s">
        <v>799</v>
      </c>
      <c r="G665" s="55">
        <v>472</v>
      </c>
      <c r="H665" s="55">
        <v>1051</v>
      </c>
      <c r="I665" s="2" t="b">
        <f t="shared" si="11"/>
        <v>0</v>
      </c>
    </row>
    <row r="666" spans="2:9" x14ac:dyDescent="0.25">
      <c r="B666" s="161">
        <v>41409</v>
      </c>
      <c r="C666" s="12" t="s">
        <v>792</v>
      </c>
      <c r="D666" s="12" t="s">
        <v>797</v>
      </c>
      <c r="E666" s="12" t="s">
        <v>487</v>
      </c>
      <c r="F666" s="12" t="s">
        <v>799</v>
      </c>
      <c r="G666" s="55">
        <v>3606</v>
      </c>
      <c r="H666" s="55">
        <v>6555</v>
      </c>
      <c r="I666" s="2" t="b">
        <f t="shared" si="11"/>
        <v>0</v>
      </c>
    </row>
    <row r="667" spans="2:9" x14ac:dyDescent="0.25">
      <c r="B667" s="161">
        <v>41329</v>
      </c>
      <c r="C667" s="12" t="s">
        <v>790</v>
      </c>
      <c r="D667" s="12" t="s">
        <v>797</v>
      </c>
      <c r="E667" s="12" t="s">
        <v>793</v>
      </c>
      <c r="F667" s="12" t="s">
        <v>796</v>
      </c>
      <c r="G667" s="55">
        <v>4462</v>
      </c>
      <c r="H667" s="55">
        <v>8111</v>
      </c>
      <c r="I667" s="2" t="b">
        <f t="shared" si="11"/>
        <v>0</v>
      </c>
    </row>
    <row r="668" spans="2:9" x14ac:dyDescent="0.25">
      <c r="B668" s="161">
        <v>41483</v>
      </c>
      <c r="C668" s="12" t="s">
        <v>805</v>
      </c>
      <c r="D668" s="12" t="s">
        <v>652</v>
      </c>
      <c r="E668" s="12" t="s">
        <v>795</v>
      </c>
      <c r="F668" s="12" t="s">
        <v>791</v>
      </c>
      <c r="G668" s="55">
        <v>3969</v>
      </c>
      <c r="H668" s="55">
        <v>5290</v>
      </c>
      <c r="I668" s="2" t="b">
        <f t="shared" si="11"/>
        <v>0</v>
      </c>
    </row>
    <row r="669" spans="2:9" x14ac:dyDescent="0.25">
      <c r="B669" s="161">
        <v>41413</v>
      </c>
      <c r="C669" s="12" t="s">
        <v>792</v>
      </c>
      <c r="D669" s="12" t="s">
        <v>652</v>
      </c>
      <c r="E669" s="12" t="s">
        <v>793</v>
      </c>
      <c r="F669" s="12" t="s">
        <v>794</v>
      </c>
      <c r="G669" s="55">
        <v>3910</v>
      </c>
      <c r="H669" s="55">
        <v>4442</v>
      </c>
      <c r="I669" s="2" t="b">
        <f t="shared" si="11"/>
        <v>0</v>
      </c>
    </row>
    <row r="670" spans="2:9" x14ac:dyDescent="0.25">
      <c r="B670" s="161">
        <v>41498</v>
      </c>
      <c r="C670" s="12" t="s">
        <v>792</v>
      </c>
      <c r="D670" s="12" t="s">
        <v>652</v>
      </c>
      <c r="E670" s="12" t="s">
        <v>795</v>
      </c>
      <c r="F670" s="12" t="s">
        <v>794</v>
      </c>
      <c r="G670" s="55">
        <v>662</v>
      </c>
      <c r="H670" s="55">
        <v>882</v>
      </c>
      <c r="I670" s="2" t="b">
        <f t="shared" si="11"/>
        <v>0</v>
      </c>
    </row>
    <row r="671" spans="2:9" x14ac:dyDescent="0.25">
      <c r="B671" s="161">
        <v>41341</v>
      </c>
      <c r="C671" s="12" t="s">
        <v>792</v>
      </c>
      <c r="D671" s="12" t="s">
        <v>457</v>
      </c>
      <c r="E671" s="12" t="s">
        <v>795</v>
      </c>
      <c r="F671" s="12" t="s">
        <v>799</v>
      </c>
      <c r="G671" s="55">
        <v>976</v>
      </c>
      <c r="H671" s="55">
        <v>1775</v>
      </c>
      <c r="I671" s="2" t="b">
        <f t="shared" si="11"/>
        <v>0</v>
      </c>
    </row>
    <row r="672" spans="2:9" x14ac:dyDescent="0.25">
      <c r="B672" s="161">
        <v>41145</v>
      </c>
      <c r="C672" s="12" t="s">
        <v>790</v>
      </c>
      <c r="D672" s="12" t="s">
        <v>457</v>
      </c>
      <c r="E672" s="12" t="s">
        <v>800</v>
      </c>
      <c r="F672" s="12" t="s">
        <v>799</v>
      </c>
      <c r="G672" s="55">
        <v>532</v>
      </c>
      <c r="H672" s="55">
        <v>918</v>
      </c>
      <c r="I672" s="2" t="b">
        <f t="shared" si="11"/>
        <v>0</v>
      </c>
    </row>
    <row r="673" spans="2:9" x14ac:dyDescent="0.25">
      <c r="B673" s="161">
        <v>41440</v>
      </c>
      <c r="C673" s="12" t="s">
        <v>792</v>
      </c>
      <c r="D673" s="12" t="s">
        <v>801</v>
      </c>
      <c r="E673" s="12" t="s">
        <v>807</v>
      </c>
      <c r="F673" s="12" t="s">
        <v>799</v>
      </c>
      <c r="G673" s="55">
        <v>5406</v>
      </c>
      <c r="H673" s="55">
        <v>9163</v>
      </c>
      <c r="I673" s="2" t="b">
        <f t="shared" si="11"/>
        <v>0</v>
      </c>
    </row>
    <row r="674" spans="2:9" x14ac:dyDescent="0.25">
      <c r="B674" s="161">
        <v>41298</v>
      </c>
      <c r="C674" s="12" t="s">
        <v>802</v>
      </c>
      <c r="D674" s="12" t="s">
        <v>797</v>
      </c>
      <c r="E674" s="12" t="s">
        <v>795</v>
      </c>
      <c r="F674" s="12" t="s">
        <v>796</v>
      </c>
      <c r="G674" s="55">
        <v>1091</v>
      </c>
      <c r="H674" s="55">
        <v>2539</v>
      </c>
      <c r="I674" s="2" t="b">
        <f t="shared" si="11"/>
        <v>0</v>
      </c>
    </row>
    <row r="675" spans="2:9" x14ac:dyDescent="0.25">
      <c r="B675" s="161">
        <v>41205</v>
      </c>
      <c r="C675" s="12" t="s">
        <v>792</v>
      </c>
      <c r="D675" s="12" t="s">
        <v>652</v>
      </c>
      <c r="E675" s="12" t="s">
        <v>798</v>
      </c>
      <c r="F675" s="12" t="s">
        <v>791</v>
      </c>
      <c r="G675" s="55">
        <v>1720</v>
      </c>
      <c r="H675" s="55">
        <v>2529</v>
      </c>
      <c r="I675" s="2" t="b">
        <f t="shared" si="11"/>
        <v>0</v>
      </c>
    </row>
    <row r="676" spans="2:9" x14ac:dyDescent="0.25">
      <c r="B676" s="161">
        <v>41028</v>
      </c>
      <c r="C676" s="12" t="s">
        <v>792</v>
      </c>
      <c r="D676" s="12" t="s">
        <v>457</v>
      </c>
      <c r="E676" s="12" t="s">
        <v>800</v>
      </c>
      <c r="F676" s="12" t="s">
        <v>794</v>
      </c>
      <c r="G676" s="55">
        <v>3492</v>
      </c>
      <c r="H676" s="55">
        <v>6348</v>
      </c>
      <c r="I676" s="2" t="b">
        <f t="shared" si="11"/>
        <v>1</v>
      </c>
    </row>
    <row r="677" spans="2:9" x14ac:dyDescent="0.25">
      <c r="B677" s="161">
        <v>41470</v>
      </c>
      <c r="C677" s="12" t="s">
        <v>790</v>
      </c>
      <c r="D677" s="12" t="s">
        <v>652</v>
      </c>
      <c r="E677" s="12" t="s">
        <v>806</v>
      </c>
      <c r="F677" s="12" t="s">
        <v>791</v>
      </c>
      <c r="G677" s="55">
        <v>1050</v>
      </c>
      <c r="H677" s="55">
        <v>1780</v>
      </c>
      <c r="I677" s="2" t="b">
        <f t="shared" si="11"/>
        <v>0</v>
      </c>
    </row>
    <row r="678" spans="2:9" x14ac:dyDescent="0.25">
      <c r="B678" s="161">
        <v>41226</v>
      </c>
      <c r="C678" s="12" t="s">
        <v>805</v>
      </c>
      <c r="D678" s="12" t="s">
        <v>797</v>
      </c>
      <c r="E678" s="12" t="s">
        <v>804</v>
      </c>
      <c r="F678" s="12" t="s">
        <v>791</v>
      </c>
      <c r="G678" s="55">
        <v>177</v>
      </c>
      <c r="H678" s="55">
        <v>304</v>
      </c>
      <c r="I678" s="2" t="b">
        <f t="shared" si="11"/>
        <v>0</v>
      </c>
    </row>
    <row r="679" spans="2:9" x14ac:dyDescent="0.25">
      <c r="B679" s="161">
        <v>41192</v>
      </c>
      <c r="C679" s="12" t="s">
        <v>790</v>
      </c>
      <c r="D679" s="12" t="s">
        <v>457</v>
      </c>
      <c r="E679" s="12" t="s">
        <v>803</v>
      </c>
      <c r="F679" s="12" t="s">
        <v>791</v>
      </c>
      <c r="G679" s="55">
        <v>4141</v>
      </c>
      <c r="H679" s="55">
        <v>9632</v>
      </c>
      <c r="I679" s="2" t="b">
        <f t="shared" si="11"/>
        <v>0</v>
      </c>
    </row>
    <row r="680" spans="2:9" x14ac:dyDescent="0.25">
      <c r="B680" s="161">
        <v>41543</v>
      </c>
      <c r="C680" s="12" t="s">
        <v>790</v>
      </c>
      <c r="D680" s="12" t="s">
        <v>457</v>
      </c>
      <c r="E680" s="12" t="s">
        <v>487</v>
      </c>
      <c r="F680" s="12" t="s">
        <v>791</v>
      </c>
      <c r="G680" s="55">
        <v>3592</v>
      </c>
      <c r="H680" s="55">
        <v>6530</v>
      </c>
      <c r="I680" s="2" t="b">
        <f t="shared" si="11"/>
        <v>0</v>
      </c>
    </row>
    <row r="681" spans="2:9" x14ac:dyDescent="0.25">
      <c r="B681" s="161">
        <v>41626</v>
      </c>
      <c r="C681" s="12" t="s">
        <v>790</v>
      </c>
      <c r="D681" s="12" t="s">
        <v>457</v>
      </c>
      <c r="E681" s="12" t="s">
        <v>798</v>
      </c>
      <c r="F681" s="12" t="s">
        <v>791</v>
      </c>
      <c r="G681" s="55">
        <v>1827</v>
      </c>
      <c r="H681" s="55">
        <v>3150</v>
      </c>
      <c r="I681" s="2" t="b">
        <f t="shared" si="11"/>
        <v>0</v>
      </c>
    </row>
    <row r="682" spans="2:9" x14ac:dyDescent="0.25">
      <c r="B682" s="161">
        <v>41061</v>
      </c>
      <c r="C682" s="12" t="s">
        <v>792</v>
      </c>
      <c r="D682" s="12" t="s">
        <v>457</v>
      </c>
      <c r="E682" s="12" t="s">
        <v>800</v>
      </c>
      <c r="F682" s="12" t="s">
        <v>794</v>
      </c>
      <c r="G682" s="55">
        <v>1277</v>
      </c>
      <c r="H682" s="55">
        <v>1702</v>
      </c>
      <c r="I682" s="2" t="b">
        <f t="shared" si="11"/>
        <v>1</v>
      </c>
    </row>
    <row r="683" spans="2:9" x14ac:dyDescent="0.25">
      <c r="B683" s="161">
        <v>41379</v>
      </c>
      <c r="C683" s="12" t="s">
        <v>792</v>
      </c>
      <c r="D683" s="12" t="s">
        <v>801</v>
      </c>
      <c r="E683" s="12" t="s">
        <v>803</v>
      </c>
      <c r="F683" s="12" t="s">
        <v>799</v>
      </c>
      <c r="G683" s="55">
        <v>4388</v>
      </c>
      <c r="H683" s="55">
        <v>7436</v>
      </c>
      <c r="I683" s="2" t="b">
        <f t="shared" si="11"/>
        <v>0</v>
      </c>
    </row>
    <row r="684" spans="2:9" x14ac:dyDescent="0.25">
      <c r="B684" s="161">
        <v>41509</v>
      </c>
      <c r="C684" s="12" t="s">
        <v>792</v>
      </c>
      <c r="D684" s="12" t="s">
        <v>797</v>
      </c>
      <c r="E684" s="12" t="s">
        <v>808</v>
      </c>
      <c r="F684" s="12" t="s">
        <v>791</v>
      </c>
      <c r="G684" s="55">
        <v>2798</v>
      </c>
      <c r="H684" s="55">
        <v>4825</v>
      </c>
      <c r="I684" s="2" t="b">
        <f t="shared" si="11"/>
        <v>0</v>
      </c>
    </row>
    <row r="685" spans="2:9" x14ac:dyDescent="0.25">
      <c r="B685" s="161">
        <v>41347</v>
      </c>
      <c r="C685" s="12" t="s">
        <v>802</v>
      </c>
      <c r="D685" s="12" t="s">
        <v>801</v>
      </c>
      <c r="E685" s="12" t="s">
        <v>793</v>
      </c>
      <c r="F685" s="12" t="s">
        <v>791</v>
      </c>
      <c r="G685" s="55">
        <v>707</v>
      </c>
      <c r="H685" s="55">
        <v>1908</v>
      </c>
      <c r="I685" s="2" t="b">
        <f t="shared" si="11"/>
        <v>0</v>
      </c>
    </row>
    <row r="686" spans="2:9" x14ac:dyDescent="0.25">
      <c r="B686" s="161">
        <v>40909</v>
      </c>
      <c r="C686" s="12" t="s">
        <v>802</v>
      </c>
      <c r="D686" s="12" t="s">
        <v>457</v>
      </c>
      <c r="E686" s="12" t="s">
        <v>809</v>
      </c>
      <c r="F686" s="12" t="s">
        <v>791</v>
      </c>
      <c r="G686" s="55">
        <v>727</v>
      </c>
      <c r="H686" s="55">
        <v>1693</v>
      </c>
      <c r="I686" s="2" t="b">
        <f t="shared" si="11"/>
        <v>0</v>
      </c>
    </row>
    <row r="687" spans="2:9" x14ac:dyDescent="0.25">
      <c r="B687" s="161">
        <v>40960</v>
      </c>
      <c r="C687" s="12" t="s">
        <v>792</v>
      </c>
      <c r="D687" s="12" t="s">
        <v>801</v>
      </c>
      <c r="E687" s="12" t="s">
        <v>806</v>
      </c>
      <c r="F687" s="12" t="s">
        <v>791</v>
      </c>
      <c r="G687" s="55">
        <v>1861</v>
      </c>
      <c r="H687" s="55">
        <v>5029</v>
      </c>
      <c r="I687" s="2" t="b">
        <f t="shared" si="11"/>
        <v>0</v>
      </c>
    </row>
    <row r="688" spans="2:9" x14ac:dyDescent="0.25">
      <c r="B688" s="161">
        <v>40928</v>
      </c>
      <c r="C688" s="12" t="s">
        <v>790</v>
      </c>
      <c r="D688" s="12" t="s">
        <v>457</v>
      </c>
      <c r="E688" s="12" t="s">
        <v>809</v>
      </c>
      <c r="F688" s="12" t="s">
        <v>796</v>
      </c>
      <c r="G688" s="55">
        <v>872</v>
      </c>
      <c r="H688" s="55">
        <v>990</v>
      </c>
      <c r="I688" s="2" t="b">
        <f t="shared" si="11"/>
        <v>0</v>
      </c>
    </row>
    <row r="689" spans="2:9" x14ac:dyDescent="0.25">
      <c r="B689" s="161">
        <v>41295</v>
      </c>
      <c r="C689" s="12" t="s">
        <v>805</v>
      </c>
      <c r="D689" s="12" t="s">
        <v>797</v>
      </c>
      <c r="E689" s="12" t="s">
        <v>809</v>
      </c>
      <c r="F689" s="12" t="s">
        <v>791</v>
      </c>
      <c r="G689" s="55">
        <v>7439</v>
      </c>
      <c r="H689" s="55">
        <v>8453</v>
      </c>
      <c r="I689" s="2" t="b">
        <f t="shared" si="11"/>
        <v>0</v>
      </c>
    </row>
    <row r="690" spans="2:9" x14ac:dyDescent="0.25">
      <c r="B690" s="161">
        <v>41263</v>
      </c>
      <c r="C690" s="12" t="s">
        <v>802</v>
      </c>
      <c r="D690" s="12" t="s">
        <v>652</v>
      </c>
      <c r="E690" s="12" t="s">
        <v>804</v>
      </c>
      <c r="F690" s="12" t="s">
        <v>799</v>
      </c>
      <c r="G690" s="55">
        <v>5000</v>
      </c>
      <c r="H690" s="55">
        <v>8475</v>
      </c>
      <c r="I690" s="2" t="b">
        <f t="shared" si="11"/>
        <v>0</v>
      </c>
    </row>
    <row r="691" spans="2:9" x14ac:dyDescent="0.25">
      <c r="B691" s="161">
        <v>40978</v>
      </c>
      <c r="C691" s="12" t="s">
        <v>802</v>
      </c>
      <c r="D691" s="12" t="s">
        <v>801</v>
      </c>
      <c r="E691" s="12" t="s">
        <v>800</v>
      </c>
      <c r="F691" s="12" t="s">
        <v>791</v>
      </c>
      <c r="G691" s="55">
        <v>2964</v>
      </c>
      <c r="H691" s="55">
        <v>8010</v>
      </c>
      <c r="I691" s="2" t="b">
        <f t="shared" si="11"/>
        <v>0</v>
      </c>
    </row>
    <row r="692" spans="2:9" x14ac:dyDescent="0.25">
      <c r="B692" s="161">
        <v>41571</v>
      </c>
      <c r="C692" s="12" t="s">
        <v>802</v>
      </c>
      <c r="D692" s="12" t="s">
        <v>457</v>
      </c>
      <c r="E692" s="12" t="s">
        <v>795</v>
      </c>
      <c r="F692" s="12" t="s">
        <v>796</v>
      </c>
      <c r="G692" s="55">
        <v>8351</v>
      </c>
      <c r="H692" s="55">
        <v>8931</v>
      </c>
      <c r="I692" s="2" t="b">
        <f t="shared" si="11"/>
        <v>0</v>
      </c>
    </row>
    <row r="693" spans="2:9" x14ac:dyDescent="0.25">
      <c r="B693" s="161">
        <v>41403</v>
      </c>
      <c r="C693" s="12" t="s">
        <v>802</v>
      </c>
      <c r="D693" s="12" t="s">
        <v>652</v>
      </c>
      <c r="E693" s="12" t="s">
        <v>809</v>
      </c>
      <c r="F693" s="12" t="s">
        <v>794</v>
      </c>
      <c r="G693" s="55">
        <v>1859</v>
      </c>
      <c r="H693" s="55">
        <v>4322</v>
      </c>
      <c r="I693" s="2" t="b">
        <f t="shared" si="11"/>
        <v>0</v>
      </c>
    </row>
    <row r="694" spans="2:9" x14ac:dyDescent="0.25">
      <c r="B694" s="161">
        <v>41556</v>
      </c>
      <c r="C694" s="12" t="s">
        <v>805</v>
      </c>
      <c r="D694" s="12" t="s">
        <v>801</v>
      </c>
      <c r="E694" s="12" t="s">
        <v>809</v>
      </c>
      <c r="F694" s="12" t="s">
        <v>791</v>
      </c>
      <c r="G694" s="55">
        <v>1937</v>
      </c>
      <c r="H694" s="55">
        <v>3520</v>
      </c>
      <c r="I694" s="2" t="b">
        <f t="shared" si="11"/>
        <v>0</v>
      </c>
    </row>
    <row r="695" spans="2:9" x14ac:dyDescent="0.25">
      <c r="B695" s="161">
        <v>41125</v>
      </c>
      <c r="C695" s="12" t="s">
        <v>802</v>
      </c>
      <c r="D695" s="12" t="s">
        <v>457</v>
      </c>
      <c r="E695" s="12" t="s">
        <v>803</v>
      </c>
      <c r="F695" s="12" t="s">
        <v>791</v>
      </c>
      <c r="G695" s="55">
        <v>873</v>
      </c>
      <c r="H695" s="55">
        <v>1283</v>
      </c>
      <c r="I695" s="2" t="b">
        <f t="shared" si="11"/>
        <v>0</v>
      </c>
    </row>
    <row r="696" spans="2:9" x14ac:dyDescent="0.25">
      <c r="B696" s="161">
        <v>41295</v>
      </c>
      <c r="C696" s="12" t="s">
        <v>805</v>
      </c>
      <c r="D696" s="12" t="s">
        <v>652</v>
      </c>
      <c r="E696" s="12" t="s">
        <v>793</v>
      </c>
      <c r="F696" s="12" t="s">
        <v>796</v>
      </c>
      <c r="G696" s="55">
        <v>3070</v>
      </c>
      <c r="H696" s="55">
        <v>4095</v>
      </c>
      <c r="I696" s="2" t="b">
        <f t="shared" si="11"/>
        <v>0</v>
      </c>
    </row>
    <row r="697" spans="2:9" x14ac:dyDescent="0.25">
      <c r="B697" s="161">
        <v>41394</v>
      </c>
      <c r="C697" s="12" t="s">
        <v>802</v>
      </c>
      <c r="D697" s="12" t="s">
        <v>797</v>
      </c>
      <c r="E697" s="12" t="s">
        <v>795</v>
      </c>
      <c r="F697" s="12" t="s">
        <v>796</v>
      </c>
      <c r="G697" s="55">
        <v>2625</v>
      </c>
      <c r="H697" s="55">
        <v>4450</v>
      </c>
      <c r="I697" s="2" t="b">
        <f t="shared" si="11"/>
        <v>0</v>
      </c>
    </row>
    <row r="698" spans="2:9" x14ac:dyDescent="0.25">
      <c r="B698" s="161">
        <v>41540</v>
      </c>
      <c r="C698" s="12" t="s">
        <v>805</v>
      </c>
      <c r="D698" s="12" t="s">
        <v>801</v>
      </c>
      <c r="E698" s="12" t="s">
        <v>800</v>
      </c>
      <c r="F698" s="12" t="s">
        <v>791</v>
      </c>
      <c r="G698" s="55">
        <v>1658</v>
      </c>
      <c r="H698" s="55">
        <v>2857</v>
      </c>
      <c r="I698" s="2" t="b">
        <f t="shared" si="11"/>
        <v>0</v>
      </c>
    </row>
    <row r="699" spans="2:9" x14ac:dyDescent="0.25">
      <c r="B699" s="161">
        <v>41612</v>
      </c>
      <c r="C699" s="12" t="s">
        <v>792</v>
      </c>
      <c r="D699" s="12" t="s">
        <v>457</v>
      </c>
      <c r="E699" s="12" t="s">
        <v>798</v>
      </c>
      <c r="F699" s="12" t="s">
        <v>791</v>
      </c>
      <c r="G699" s="55">
        <v>5221</v>
      </c>
      <c r="H699" s="55">
        <v>5584</v>
      </c>
      <c r="I699" s="2" t="b">
        <f t="shared" si="11"/>
        <v>0</v>
      </c>
    </row>
    <row r="700" spans="2:9" x14ac:dyDescent="0.25">
      <c r="B700" s="161">
        <v>41554</v>
      </c>
      <c r="C700" s="12" t="s">
        <v>792</v>
      </c>
      <c r="D700" s="12" t="s">
        <v>801</v>
      </c>
      <c r="E700" s="12" t="s">
        <v>798</v>
      </c>
      <c r="F700" s="12" t="s">
        <v>791</v>
      </c>
      <c r="G700" s="55">
        <v>2252</v>
      </c>
      <c r="H700" s="55">
        <v>2558</v>
      </c>
      <c r="I700" s="2" t="b">
        <f t="shared" si="11"/>
        <v>0</v>
      </c>
    </row>
    <row r="701" spans="2:9" x14ac:dyDescent="0.25">
      <c r="B701" s="161">
        <v>41170</v>
      </c>
      <c r="C701" s="12" t="s">
        <v>792</v>
      </c>
      <c r="D701" s="12" t="s">
        <v>797</v>
      </c>
      <c r="E701" s="12" t="s">
        <v>806</v>
      </c>
      <c r="F701" s="12" t="s">
        <v>794</v>
      </c>
      <c r="G701" s="55">
        <v>5348</v>
      </c>
      <c r="H701" s="55">
        <v>9723</v>
      </c>
      <c r="I701" s="2" t="b">
        <f t="shared" si="11"/>
        <v>0</v>
      </c>
    </row>
    <row r="702" spans="2:9" x14ac:dyDescent="0.25">
      <c r="B702" s="161">
        <v>41143</v>
      </c>
      <c r="C702" s="12" t="s">
        <v>792</v>
      </c>
      <c r="D702" s="12" t="s">
        <v>457</v>
      </c>
      <c r="E702" s="12" t="s">
        <v>808</v>
      </c>
      <c r="F702" s="12" t="s">
        <v>791</v>
      </c>
      <c r="G702" s="55">
        <v>1670</v>
      </c>
      <c r="H702" s="55">
        <v>3712</v>
      </c>
      <c r="I702" s="2" t="b">
        <f t="shared" si="11"/>
        <v>0</v>
      </c>
    </row>
    <row r="703" spans="2:9" x14ac:dyDescent="0.25">
      <c r="B703" s="161">
        <v>41579</v>
      </c>
      <c r="C703" s="12" t="s">
        <v>790</v>
      </c>
      <c r="D703" s="12" t="s">
        <v>801</v>
      </c>
      <c r="E703" s="12" t="s">
        <v>804</v>
      </c>
      <c r="F703" s="12" t="s">
        <v>794</v>
      </c>
      <c r="G703" s="55">
        <v>3680</v>
      </c>
      <c r="H703" s="55">
        <v>9946</v>
      </c>
      <c r="I703" s="2" t="b">
        <f t="shared" si="11"/>
        <v>0</v>
      </c>
    </row>
    <row r="704" spans="2:9" x14ac:dyDescent="0.25">
      <c r="B704" s="161">
        <v>41338</v>
      </c>
      <c r="C704" s="12" t="s">
        <v>790</v>
      </c>
      <c r="D704" s="12" t="s">
        <v>457</v>
      </c>
      <c r="E704" s="12" t="s">
        <v>793</v>
      </c>
      <c r="F704" s="12" t="s">
        <v>799</v>
      </c>
      <c r="G704" s="55">
        <v>1201</v>
      </c>
      <c r="H704" s="55">
        <v>3246</v>
      </c>
      <c r="I704" s="2" t="b">
        <f t="shared" si="11"/>
        <v>0</v>
      </c>
    </row>
    <row r="705" spans="2:9" x14ac:dyDescent="0.25">
      <c r="B705" s="161">
        <v>41568</v>
      </c>
      <c r="C705" s="12" t="s">
        <v>805</v>
      </c>
      <c r="D705" s="12" t="s">
        <v>797</v>
      </c>
      <c r="E705" s="12" t="s">
        <v>804</v>
      </c>
      <c r="F705" s="12" t="s">
        <v>799</v>
      </c>
      <c r="G705" s="55">
        <v>1141</v>
      </c>
      <c r="H705" s="55">
        <v>1295</v>
      </c>
      <c r="I705" s="2" t="b">
        <f t="shared" si="11"/>
        <v>0</v>
      </c>
    </row>
    <row r="706" spans="2:9" x14ac:dyDescent="0.25">
      <c r="B706" s="161">
        <v>41165</v>
      </c>
      <c r="C706" s="12" t="s">
        <v>802</v>
      </c>
      <c r="D706" s="12" t="s">
        <v>652</v>
      </c>
      <c r="E706" s="12" t="s">
        <v>804</v>
      </c>
      <c r="F706" s="12" t="s">
        <v>794</v>
      </c>
      <c r="G706" s="55">
        <v>2244</v>
      </c>
      <c r="H706" s="55">
        <v>2400</v>
      </c>
      <c r="I706" s="2" t="b">
        <f t="shared" si="11"/>
        <v>0</v>
      </c>
    </row>
    <row r="707" spans="2:9" x14ac:dyDescent="0.25">
      <c r="B707" s="161">
        <v>40934</v>
      </c>
      <c r="C707" s="12" t="s">
        <v>790</v>
      </c>
      <c r="D707" s="12" t="s">
        <v>801</v>
      </c>
      <c r="E707" s="12" t="s">
        <v>607</v>
      </c>
      <c r="F707" s="12" t="s">
        <v>796</v>
      </c>
      <c r="G707" s="55">
        <v>6054</v>
      </c>
      <c r="H707" s="55">
        <v>8072</v>
      </c>
      <c r="I707" s="2" t="b">
        <f t="shared" si="11"/>
        <v>0</v>
      </c>
    </row>
    <row r="708" spans="2:9" x14ac:dyDescent="0.25">
      <c r="B708" s="161">
        <v>41601</v>
      </c>
      <c r="C708" s="12" t="s">
        <v>802</v>
      </c>
      <c r="D708" s="12" t="s">
        <v>797</v>
      </c>
      <c r="E708" s="12" t="s">
        <v>793</v>
      </c>
      <c r="F708" s="12" t="s">
        <v>799</v>
      </c>
      <c r="G708" s="55">
        <v>3257</v>
      </c>
      <c r="H708" s="55">
        <v>5615</v>
      </c>
      <c r="I708" s="2" t="b">
        <f t="shared" si="11"/>
        <v>0</v>
      </c>
    </row>
    <row r="709" spans="2:9" x14ac:dyDescent="0.25">
      <c r="B709" s="161">
        <v>41600</v>
      </c>
      <c r="C709" s="12" t="s">
        <v>790</v>
      </c>
      <c r="D709" s="12" t="s">
        <v>797</v>
      </c>
      <c r="E709" s="12" t="s">
        <v>798</v>
      </c>
      <c r="F709" s="12" t="s">
        <v>791</v>
      </c>
      <c r="G709" s="55">
        <v>5647</v>
      </c>
      <c r="H709" s="55">
        <v>9570</v>
      </c>
      <c r="I709" s="2" t="b">
        <f t="shared" si="11"/>
        <v>0</v>
      </c>
    </row>
    <row r="710" spans="2:9" x14ac:dyDescent="0.25">
      <c r="B710" s="161">
        <v>41311</v>
      </c>
      <c r="C710" s="12" t="s">
        <v>792</v>
      </c>
      <c r="D710" s="12" t="s">
        <v>801</v>
      </c>
      <c r="E710" s="12" t="s">
        <v>607</v>
      </c>
      <c r="F710" s="12" t="s">
        <v>794</v>
      </c>
      <c r="G710" s="55">
        <v>7336</v>
      </c>
      <c r="H710" s="55">
        <v>7846</v>
      </c>
      <c r="I710" s="2" t="b">
        <f t="shared" si="11"/>
        <v>0</v>
      </c>
    </row>
    <row r="711" spans="2:9" x14ac:dyDescent="0.25">
      <c r="B711" s="161">
        <v>41438</v>
      </c>
      <c r="C711" s="12" t="s">
        <v>802</v>
      </c>
      <c r="D711" s="12" t="s">
        <v>457</v>
      </c>
      <c r="E711" s="12" t="s">
        <v>806</v>
      </c>
      <c r="F711" s="12" t="s">
        <v>791</v>
      </c>
      <c r="G711" s="55">
        <v>2189</v>
      </c>
      <c r="H711" s="55">
        <v>3772</v>
      </c>
      <c r="I711" s="2" t="b">
        <f t="shared" ref="I711:I774" si="12">AND($K$9=C711,$L$9=D711,$M$9=F711)</f>
        <v>0</v>
      </c>
    </row>
    <row r="712" spans="2:9" x14ac:dyDescent="0.25">
      <c r="B712" s="161">
        <v>41007</v>
      </c>
      <c r="C712" s="12" t="s">
        <v>790</v>
      </c>
      <c r="D712" s="12" t="s">
        <v>801</v>
      </c>
      <c r="E712" s="12" t="s">
        <v>807</v>
      </c>
      <c r="F712" s="12" t="s">
        <v>794</v>
      </c>
      <c r="G712" s="55">
        <v>3466</v>
      </c>
      <c r="H712" s="55">
        <v>7703</v>
      </c>
      <c r="I712" s="2" t="b">
        <f t="shared" si="12"/>
        <v>0</v>
      </c>
    </row>
    <row r="713" spans="2:9" x14ac:dyDescent="0.25">
      <c r="B713" s="161">
        <v>41356</v>
      </c>
      <c r="C713" s="12" t="s">
        <v>802</v>
      </c>
      <c r="D713" s="12" t="s">
        <v>652</v>
      </c>
      <c r="E713" s="12" t="s">
        <v>487</v>
      </c>
      <c r="F713" s="12" t="s">
        <v>796</v>
      </c>
      <c r="G713" s="55">
        <v>1051</v>
      </c>
      <c r="H713" s="55">
        <v>2840</v>
      </c>
      <c r="I713" s="2" t="b">
        <f t="shared" si="12"/>
        <v>0</v>
      </c>
    </row>
    <row r="714" spans="2:9" x14ac:dyDescent="0.25">
      <c r="B714" s="161">
        <v>41024</v>
      </c>
      <c r="C714" s="12" t="s">
        <v>792</v>
      </c>
      <c r="D714" s="12" t="s">
        <v>801</v>
      </c>
      <c r="E714" s="12" t="s">
        <v>803</v>
      </c>
      <c r="F714" s="12" t="s">
        <v>799</v>
      </c>
      <c r="G714" s="55">
        <v>3342</v>
      </c>
      <c r="H714" s="55">
        <v>7428</v>
      </c>
      <c r="I714" s="2" t="b">
        <f t="shared" si="12"/>
        <v>0</v>
      </c>
    </row>
    <row r="715" spans="2:9" x14ac:dyDescent="0.25">
      <c r="B715" s="161">
        <v>41295</v>
      </c>
      <c r="C715" s="12" t="s">
        <v>792</v>
      </c>
      <c r="D715" s="12" t="s">
        <v>457</v>
      </c>
      <c r="E715" s="12" t="s">
        <v>808</v>
      </c>
      <c r="F715" s="12" t="s">
        <v>799</v>
      </c>
      <c r="G715" s="55">
        <v>1477</v>
      </c>
      <c r="H715" s="55">
        <v>3990</v>
      </c>
      <c r="I715" s="2" t="b">
        <f t="shared" si="12"/>
        <v>0</v>
      </c>
    </row>
    <row r="716" spans="2:9" x14ac:dyDescent="0.25">
      <c r="B716" s="161">
        <v>41279</v>
      </c>
      <c r="C716" s="12" t="s">
        <v>805</v>
      </c>
      <c r="D716" s="12" t="s">
        <v>801</v>
      </c>
      <c r="E716" s="12" t="s">
        <v>487</v>
      </c>
      <c r="F716" s="12" t="s">
        <v>799</v>
      </c>
      <c r="G716" s="55">
        <v>1350</v>
      </c>
      <c r="H716" s="55">
        <v>3648</v>
      </c>
      <c r="I716" s="2" t="b">
        <f t="shared" si="12"/>
        <v>0</v>
      </c>
    </row>
    <row r="717" spans="2:9" x14ac:dyDescent="0.25">
      <c r="B717" s="161">
        <v>41411</v>
      </c>
      <c r="C717" s="12" t="s">
        <v>790</v>
      </c>
      <c r="D717" s="12" t="s">
        <v>797</v>
      </c>
      <c r="E717" s="12" t="s">
        <v>607</v>
      </c>
      <c r="F717" s="12" t="s">
        <v>794</v>
      </c>
      <c r="G717" s="55">
        <v>437</v>
      </c>
      <c r="H717" s="55">
        <v>1182</v>
      </c>
      <c r="I717" s="2" t="b">
        <f t="shared" si="12"/>
        <v>0</v>
      </c>
    </row>
    <row r="718" spans="2:9" x14ac:dyDescent="0.25">
      <c r="B718" s="161">
        <v>41120</v>
      </c>
      <c r="C718" s="12" t="s">
        <v>805</v>
      </c>
      <c r="D718" s="12" t="s">
        <v>797</v>
      </c>
      <c r="E718" s="12" t="s">
        <v>809</v>
      </c>
      <c r="F718" s="12" t="s">
        <v>791</v>
      </c>
      <c r="G718" s="55">
        <v>6832</v>
      </c>
      <c r="H718" s="55">
        <v>7307</v>
      </c>
      <c r="I718" s="2" t="b">
        <f t="shared" si="12"/>
        <v>0</v>
      </c>
    </row>
    <row r="719" spans="2:9" x14ac:dyDescent="0.25">
      <c r="B719" s="161">
        <v>41557</v>
      </c>
      <c r="C719" s="12" t="s">
        <v>792</v>
      </c>
      <c r="D719" s="12" t="s">
        <v>797</v>
      </c>
      <c r="E719" s="12" t="s">
        <v>806</v>
      </c>
      <c r="F719" s="12" t="s">
        <v>791</v>
      </c>
      <c r="G719" s="55">
        <v>436</v>
      </c>
      <c r="H719" s="55">
        <v>494</v>
      </c>
      <c r="I719" s="2" t="b">
        <f t="shared" si="12"/>
        <v>0</v>
      </c>
    </row>
    <row r="720" spans="2:9" x14ac:dyDescent="0.25">
      <c r="B720" s="161">
        <v>41278</v>
      </c>
      <c r="C720" s="12" t="s">
        <v>802</v>
      </c>
      <c r="D720" s="12" t="s">
        <v>457</v>
      </c>
      <c r="E720" s="12" t="s">
        <v>807</v>
      </c>
      <c r="F720" s="12" t="s">
        <v>799</v>
      </c>
      <c r="G720" s="55">
        <v>3083</v>
      </c>
      <c r="H720" s="55">
        <v>7168</v>
      </c>
      <c r="I720" s="2" t="b">
        <f t="shared" si="12"/>
        <v>0</v>
      </c>
    </row>
    <row r="721" spans="2:9" x14ac:dyDescent="0.25">
      <c r="B721" s="161">
        <v>41268</v>
      </c>
      <c r="C721" s="12" t="s">
        <v>805</v>
      </c>
      <c r="D721" s="12" t="s">
        <v>652</v>
      </c>
      <c r="E721" s="12" t="s">
        <v>793</v>
      </c>
      <c r="F721" s="12" t="s">
        <v>794</v>
      </c>
      <c r="G721" s="55">
        <v>1813</v>
      </c>
      <c r="H721" s="55">
        <v>2417</v>
      </c>
      <c r="I721" s="2" t="b">
        <f t="shared" si="12"/>
        <v>0</v>
      </c>
    </row>
    <row r="722" spans="2:9" x14ac:dyDescent="0.25">
      <c r="B722" s="161">
        <v>40959</v>
      </c>
      <c r="C722" s="12" t="s">
        <v>802</v>
      </c>
      <c r="D722" s="12" t="s">
        <v>652</v>
      </c>
      <c r="E722" s="12" t="s">
        <v>795</v>
      </c>
      <c r="F722" s="12" t="s">
        <v>799</v>
      </c>
      <c r="G722" s="55">
        <v>3263</v>
      </c>
      <c r="H722" s="55">
        <v>3489</v>
      </c>
      <c r="I722" s="2" t="b">
        <f t="shared" si="12"/>
        <v>0</v>
      </c>
    </row>
    <row r="723" spans="2:9" x14ac:dyDescent="0.25">
      <c r="B723" s="161">
        <v>41138</v>
      </c>
      <c r="C723" s="12" t="s">
        <v>805</v>
      </c>
      <c r="D723" s="12" t="s">
        <v>797</v>
      </c>
      <c r="E723" s="12" t="s">
        <v>804</v>
      </c>
      <c r="F723" s="12" t="s">
        <v>799</v>
      </c>
      <c r="G723" s="55">
        <v>302</v>
      </c>
      <c r="H723" s="55">
        <v>402</v>
      </c>
      <c r="I723" s="2" t="b">
        <f t="shared" si="12"/>
        <v>0</v>
      </c>
    </row>
    <row r="724" spans="2:9" x14ac:dyDescent="0.25">
      <c r="B724" s="161">
        <v>41410</v>
      </c>
      <c r="C724" s="12" t="s">
        <v>792</v>
      </c>
      <c r="D724" s="12" t="s">
        <v>652</v>
      </c>
      <c r="E724" s="12" t="s">
        <v>793</v>
      </c>
      <c r="F724" s="12" t="s">
        <v>794</v>
      </c>
      <c r="G724" s="55">
        <v>2001</v>
      </c>
      <c r="H724" s="55">
        <v>4652</v>
      </c>
      <c r="I724" s="2" t="b">
        <f t="shared" si="12"/>
        <v>0</v>
      </c>
    </row>
    <row r="725" spans="2:9" x14ac:dyDescent="0.25">
      <c r="B725" s="161">
        <v>41206</v>
      </c>
      <c r="C725" s="12" t="s">
        <v>790</v>
      </c>
      <c r="D725" s="12" t="s">
        <v>801</v>
      </c>
      <c r="E725" s="12" t="s">
        <v>803</v>
      </c>
      <c r="F725" s="12" t="s">
        <v>791</v>
      </c>
      <c r="G725" s="55">
        <v>1516</v>
      </c>
      <c r="H725" s="55">
        <v>2613</v>
      </c>
      <c r="I725" s="2" t="b">
        <f t="shared" si="12"/>
        <v>0</v>
      </c>
    </row>
    <row r="726" spans="2:9" x14ac:dyDescent="0.25">
      <c r="B726" s="161">
        <v>41170</v>
      </c>
      <c r="C726" s="12" t="s">
        <v>790</v>
      </c>
      <c r="D726" s="12" t="s">
        <v>457</v>
      </c>
      <c r="E726" s="12" t="s">
        <v>809</v>
      </c>
      <c r="F726" s="12" t="s">
        <v>791</v>
      </c>
      <c r="G726" s="55">
        <v>52</v>
      </c>
      <c r="H726" s="55">
        <v>76</v>
      </c>
      <c r="I726" s="2" t="b">
        <f t="shared" si="12"/>
        <v>0</v>
      </c>
    </row>
    <row r="727" spans="2:9" x14ac:dyDescent="0.25">
      <c r="B727" s="161">
        <v>41358</v>
      </c>
      <c r="C727" s="12" t="s">
        <v>805</v>
      </c>
      <c r="D727" s="12" t="s">
        <v>652</v>
      </c>
      <c r="E727" s="12" t="s">
        <v>800</v>
      </c>
      <c r="F727" s="12" t="s">
        <v>794</v>
      </c>
      <c r="G727" s="55">
        <v>4543</v>
      </c>
      <c r="H727" s="55">
        <v>4860</v>
      </c>
      <c r="I727" s="2" t="b">
        <f t="shared" si="12"/>
        <v>0</v>
      </c>
    </row>
    <row r="728" spans="2:9" x14ac:dyDescent="0.25">
      <c r="B728" s="161">
        <v>41172</v>
      </c>
      <c r="C728" s="12" t="s">
        <v>805</v>
      </c>
      <c r="D728" s="12" t="s">
        <v>797</v>
      </c>
      <c r="E728" s="12" t="s">
        <v>804</v>
      </c>
      <c r="F728" s="12" t="s">
        <v>799</v>
      </c>
      <c r="G728" s="55">
        <v>939</v>
      </c>
      <c r="H728" s="55">
        <v>1381</v>
      </c>
      <c r="I728" s="2" t="b">
        <f t="shared" si="12"/>
        <v>0</v>
      </c>
    </row>
    <row r="729" spans="2:9" x14ac:dyDescent="0.25">
      <c r="B729" s="161">
        <v>41270</v>
      </c>
      <c r="C729" s="12" t="s">
        <v>805</v>
      </c>
      <c r="D729" s="12" t="s">
        <v>797</v>
      </c>
      <c r="E729" s="12" t="s">
        <v>804</v>
      </c>
      <c r="F729" s="12" t="s">
        <v>791</v>
      </c>
      <c r="G729" s="55">
        <v>1271</v>
      </c>
      <c r="H729" s="55">
        <v>3435</v>
      </c>
      <c r="I729" s="2" t="b">
        <f t="shared" si="12"/>
        <v>0</v>
      </c>
    </row>
    <row r="730" spans="2:9" x14ac:dyDescent="0.25">
      <c r="B730" s="161">
        <v>41345</v>
      </c>
      <c r="C730" s="12" t="s">
        <v>790</v>
      </c>
      <c r="D730" s="12" t="s">
        <v>652</v>
      </c>
      <c r="E730" s="12" t="s">
        <v>798</v>
      </c>
      <c r="F730" s="12" t="s">
        <v>796</v>
      </c>
      <c r="G730" s="55">
        <v>1500</v>
      </c>
      <c r="H730" s="55">
        <v>2206</v>
      </c>
      <c r="I730" s="2" t="b">
        <f t="shared" si="12"/>
        <v>0</v>
      </c>
    </row>
    <row r="731" spans="2:9" x14ac:dyDescent="0.25">
      <c r="B731" s="161">
        <v>41180</v>
      </c>
      <c r="C731" s="12" t="s">
        <v>790</v>
      </c>
      <c r="D731" s="12" t="s">
        <v>652</v>
      </c>
      <c r="E731" s="12" t="s">
        <v>795</v>
      </c>
      <c r="F731" s="12" t="s">
        <v>791</v>
      </c>
      <c r="G731" s="55">
        <v>1001</v>
      </c>
      <c r="H731" s="55">
        <v>1335</v>
      </c>
      <c r="I731" s="2" t="b">
        <f t="shared" si="12"/>
        <v>0</v>
      </c>
    </row>
    <row r="732" spans="2:9" x14ac:dyDescent="0.25">
      <c r="B732" s="161">
        <v>41376</v>
      </c>
      <c r="C732" s="12" t="s">
        <v>802</v>
      </c>
      <c r="D732" s="12" t="s">
        <v>801</v>
      </c>
      <c r="E732" s="12" t="s">
        <v>800</v>
      </c>
      <c r="F732" s="12" t="s">
        <v>796</v>
      </c>
      <c r="G732" s="55">
        <v>989</v>
      </c>
      <c r="H732" s="55">
        <v>2196</v>
      </c>
      <c r="I732" s="2" t="b">
        <f t="shared" si="12"/>
        <v>0</v>
      </c>
    </row>
    <row r="733" spans="2:9" x14ac:dyDescent="0.25">
      <c r="B733" s="161">
        <v>41280</v>
      </c>
      <c r="C733" s="12" t="s">
        <v>790</v>
      </c>
      <c r="D733" s="12" t="s">
        <v>457</v>
      </c>
      <c r="E733" s="12" t="s">
        <v>807</v>
      </c>
      <c r="F733" s="12" t="s">
        <v>794</v>
      </c>
      <c r="G733" s="55">
        <v>8136</v>
      </c>
      <c r="H733" s="55">
        <v>8703</v>
      </c>
      <c r="I733" s="2" t="b">
        <f t="shared" si="12"/>
        <v>0</v>
      </c>
    </row>
    <row r="734" spans="2:9" x14ac:dyDescent="0.25">
      <c r="B734" s="161">
        <v>41607</v>
      </c>
      <c r="C734" s="12" t="s">
        <v>792</v>
      </c>
      <c r="D734" s="12" t="s">
        <v>457</v>
      </c>
      <c r="E734" s="12" t="s">
        <v>795</v>
      </c>
      <c r="F734" s="12" t="s">
        <v>794</v>
      </c>
      <c r="G734" s="55">
        <v>842</v>
      </c>
      <c r="H734" s="55">
        <v>1529</v>
      </c>
      <c r="I734" s="2" t="b">
        <f t="shared" si="12"/>
        <v>1</v>
      </c>
    </row>
    <row r="735" spans="2:9" x14ac:dyDescent="0.25">
      <c r="B735" s="161">
        <v>41158</v>
      </c>
      <c r="C735" s="12" t="s">
        <v>792</v>
      </c>
      <c r="D735" s="12" t="s">
        <v>797</v>
      </c>
      <c r="E735" s="12" t="s">
        <v>800</v>
      </c>
      <c r="F735" s="12" t="s">
        <v>799</v>
      </c>
      <c r="G735" s="55">
        <v>3853</v>
      </c>
      <c r="H735" s="55">
        <v>4122</v>
      </c>
      <c r="I735" s="2" t="b">
        <f t="shared" si="12"/>
        <v>0</v>
      </c>
    </row>
    <row r="736" spans="2:9" x14ac:dyDescent="0.25">
      <c r="B736" s="161">
        <v>41203</v>
      </c>
      <c r="C736" s="12" t="s">
        <v>792</v>
      </c>
      <c r="D736" s="12" t="s">
        <v>801</v>
      </c>
      <c r="E736" s="12" t="s">
        <v>807</v>
      </c>
      <c r="F736" s="12" t="s">
        <v>799</v>
      </c>
      <c r="G736" s="55">
        <v>781</v>
      </c>
      <c r="H736" s="55">
        <v>1419</v>
      </c>
      <c r="I736" s="2" t="b">
        <f t="shared" si="12"/>
        <v>0</v>
      </c>
    </row>
    <row r="737" spans="2:9" x14ac:dyDescent="0.25">
      <c r="B737" s="161">
        <v>41333</v>
      </c>
      <c r="C737" s="12" t="s">
        <v>805</v>
      </c>
      <c r="D737" s="12" t="s">
        <v>801</v>
      </c>
      <c r="E737" s="12" t="s">
        <v>808</v>
      </c>
      <c r="F737" s="12" t="s">
        <v>799</v>
      </c>
      <c r="G737" s="55">
        <v>4941</v>
      </c>
      <c r="H737" s="55">
        <v>6586</v>
      </c>
      <c r="I737" s="2" t="b">
        <f t="shared" si="12"/>
        <v>0</v>
      </c>
    </row>
    <row r="738" spans="2:9" x14ac:dyDescent="0.25">
      <c r="B738" s="161">
        <v>41216</v>
      </c>
      <c r="C738" s="12" t="s">
        <v>792</v>
      </c>
      <c r="D738" s="12" t="s">
        <v>797</v>
      </c>
      <c r="E738" s="12" t="s">
        <v>793</v>
      </c>
      <c r="F738" s="12" t="s">
        <v>799</v>
      </c>
      <c r="G738" s="55">
        <v>463</v>
      </c>
      <c r="H738" s="55">
        <v>680</v>
      </c>
      <c r="I738" s="2" t="b">
        <f t="shared" si="12"/>
        <v>0</v>
      </c>
    </row>
    <row r="739" spans="2:9" x14ac:dyDescent="0.25">
      <c r="B739" s="161">
        <v>41403</v>
      </c>
      <c r="C739" s="12" t="s">
        <v>790</v>
      </c>
      <c r="D739" s="12" t="s">
        <v>801</v>
      </c>
      <c r="E739" s="12" t="s">
        <v>808</v>
      </c>
      <c r="F739" s="12" t="s">
        <v>796</v>
      </c>
      <c r="G739" s="55">
        <v>2724</v>
      </c>
      <c r="H739" s="55">
        <v>4697</v>
      </c>
      <c r="I739" s="2" t="b">
        <f t="shared" si="12"/>
        <v>0</v>
      </c>
    </row>
    <row r="740" spans="2:9" x14ac:dyDescent="0.25">
      <c r="B740" s="161">
        <v>41037</v>
      </c>
      <c r="C740" s="12" t="s">
        <v>802</v>
      </c>
      <c r="D740" s="12" t="s">
        <v>652</v>
      </c>
      <c r="E740" s="12" t="s">
        <v>809</v>
      </c>
      <c r="F740" s="12" t="s">
        <v>799</v>
      </c>
      <c r="G740" s="55">
        <v>1835</v>
      </c>
      <c r="H740" s="55">
        <v>4957</v>
      </c>
      <c r="I740" s="2" t="b">
        <f t="shared" si="12"/>
        <v>0</v>
      </c>
    </row>
    <row r="741" spans="2:9" x14ac:dyDescent="0.25">
      <c r="B741" s="161">
        <v>41284</v>
      </c>
      <c r="C741" s="12" t="s">
        <v>790</v>
      </c>
      <c r="D741" s="12" t="s">
        <v>797</v>
      </c>
      <c r="E741" s="12" t="s">
        <v>793</v>
      </c>
      <c r="F741" s="12" t="s">
        <v>796</v>
      </c>
      <c r="G741" s="55">
        <v>5815</v>
      </c>
      <c r="H741" s="55">
        <v>6608</v>
      </c>
      <c r="I741" s="2" t="b">
        <f t="shared" si="12"/>
        <v>0</v>
      </c>
    </row>
    <row r="742" spans="2:9" x14ac:dyDescent="0.25">
      <c r="B742" s="161">
        <v>41090</v>
      </c>
      <c r="C742" s="12" t="s">
        <v>802</v>
      </c>
      <c r="D742" s="12" t="s">
        <v>457</v>
      </c>
      <c r="E742" s="12" t="s">
        <v>798</v>
      </c>
      <c r="F742" s="12" t="s">
        <v>799</v>
      </c>
      <c r="G742" s="55">
        <v>5123</v>
      </c>
      <c r="H742" s="55">
        <v>5478</v>
      </c>
      <c r="I742" s="2" t="b">
        <f t="shared" si="12"/>
        <v>0</v>
      </c>
    </row>
    <row r="743" spans="2:9" x14ac:dyDescent="0.25">
      <c r="B743" s="161">
        <v>41393</v>
      </c>
      <c r="C743" s="12" t="s">
        <v>792</v>
      </c>
      <c r="D743" s="12" t="s">
        <v>797</v>
      </c>
      <c r="E743" s="12" t="s">
        <v>803</v>
      </c>
      <c r="F743" s="12" t="s">
        <v>799</v>
      </c>
      <c r="G743" s="55">
        <v>2261</v>
      </c>
      <c r="H743" s="55">
        <v>3830</v>
      </c>
      <c r="I743" s="2" t="b">
        <f t="shared" si="12"/>
        <v>0</v>
      </c>
    </row>
    <row r="744" spans="2:9" x14ac:dyDescent="0.25">
      <c r="B744" s="161">
        <v>40932</v>
      </c>
      <c r="C744" s="12" t="s">
        <v>805</v>
      </c>
      <c r="D744" s="12" t="s">
        <v>652</v>
      </c>
      <c r="E744" s="12" t="s">
        <v>798</v>
      </c>
      <c r="F744" s="12" t="s">
        <v>799</v>
      </c>
      <c r="G744" s="55">
        <v>4774</v>
      </c>
      <c r="H744" s="55">
        <v>8092</v>
      </c>
      <c r="I744" s="2" t="b">
        <f t="shared" si="12"/>
        <v>0</v>
      </c>
    </row>
    <row r="745" spans="2:9" x14ac:dyDescent="0.25">
      <c r="B745" s="161">
        <v>40921</v>
      </c>
      <c r="C745" s="12" t="s">
        <v>805</v>
      </c>
      <c r="D745" s="12" t="s">
        <v>797</v>
      </c>
      <c r="E745" s="12" t="s">
        <v>795</v>
      </c>
      <c r="F745" s="12" t="s">
        <v>791</v>
      </c>
      <c r="G745" s="55">
        <v>2236</v>
      </c>
      <c r="H745" s="55">
        <v>2980</v>
      </c>
      <c r="I745" s="2" t="b">
        <f t="shared" si="12"/>
        <v>0</v>
      </c>
    </row>
    <row r="746" spans="2:9" x14ac:dyDescent="0.25">
      <c r="B746" s="161">
        <v>41010</v>
      </c>
      <c r="C746" s="12" t="s">
        <v>790</v>
      </c>
      <c r="D746" s="12" t="s">
        <v>652</v>
      </c>
      <c r="E746" s="12" t="s">
        <v>806</v>
      </c>
      <c r="F746" s="12" t="s">
        <v>794</v>
      </c>
      <c r="G746" s="55">
        <v>140</v>
      </c>
      <c r="H746" s="55">
        <v>378</v>
      </c>
      <c r="I746" s="2" t="b">
        <f t="shared" si="12"/>
        <v>0</v>
      </c>
    </row>
    <row r="747" spans="2:9" x14ac:dyDescent="0.25">
      <c r="B747" s="161">
        <v>41356</v>
      </c>
      <c r="C747" s="12" t="s">
        <v>790</v>
      </c>
      <c r="D747" s="12" t="s">
        <v>801</v>
      </c>
      <c r="E747" s="12" t="s">
        <v>800</v>
      </c>
      <c r="F747" s="12" t="s">
        <v>799</v>
      </c>
      <c r="G747" s="55">
        <v>1265</v>
      </c>
      <c r="H747" s="55">
        <v>2144</v>
      </c>
      <c r="I747" s="2" t="b">
        <f t="shared" si="12"/>
        <v>0</v>
      </c>
    </row>
    <row r="748" spans="2:9" x14ac:dyDescent="0.25">
      <c r="B748" s="161">
        <v>41487</v>
      </c>
      <c r="C748" s="12" t="s">
        <v>792</v>
      </c>
      <c r="D748" s="12" t="s">
        <v>457</v>
      </c>
      <c r="E748" s="12" t="s">
        <v>806</v>
      </c>
      <c r="F748" s="12" t="s">
        <v>799</v>
      </c>
      <c r="G748" s="55">
        <v>7010</v>
      </c>
      <c r="H748" s="55">
        <v>9348</v>
      </c>
      <c r="I748" s="2" t="b">
        <f t="shared" si="12"/>
        <v>0</v>
      </c>
    </row>
    <row r="749" spans="2:9" x14ac:dyDescent="0.25">
      <c r="B749" s="161">
        <v>41136</v>
      </c>
      <c r="C749" s="12" t="s">
        <v>805</v>
      </c>
      <c r="D749" s="12" t="s">
        <v>457</v>
      </c>
      <c r="E749" s="12" t="s">
        <v>807</v>
      </c>
      <c r="F749" s="12" t="s">
        <v>796</v>
      </c>
      <c r="G749" s="55">
        <v>3780</v>
      </c>
      <c r="H749" s="55">
        <v>8789</v>
      </c>
      <c r="I749" s="2" t="b">
        <f t="shared" si="12"/>
        <v>0</v>
      </c>
    </row>
    <row r="750" spans="2:9" x14ac:dyDescent="0.25">
      <c r="B750" s="161">
        <v>41412</v>
      </c>
      <c r="C750" s="12" t="s">
        <v>805</v>
      </c>
      <c r="D750" s="12" t="s">
        <v>801</v>
      </c>
      <c r="E750" s="12" t="s">
        <v>809</v>
      </c>
      <c r="F750" s="12" t="s">
        <v>794</v>
      </c>
      <c r="G750" s="55">
        <v>568</v>
      </c>
      <c r="H750" s="55">
        <v>607</v>
      </c>
      <c r="I750" s="2" t="b">
        <f t="shared" si="12"/>
        <v>0</v>
      </c>
    </row>
    <row r="751" spans="2:9" x14ac:dyDescent="0.25">
      <c r="B751" s="161">
        <v>41344</v>
      </c>
      <c r="C751" s="12" t="s">
        <v>805</v>
      </c>
      <c r="D751" s="12" t="s">
        <v>801</v>
      </c>
      <c r="E751" s="12" t="s">
        <v>793</v>
      </c>
      <c r="F751" s="12" t="s">
        <v>794</v>
      </c>
      <c r="G751" s="55">
        <v>6724</v>
      </c>
      <c r="H751" s="55">
        <v>7642</v>
      </c>
      <c r="I751" s="2" t="b">
        <f t="shared" si="12"/>
        <v>0</v>
      </c>
    </row>
    <row r="752" spans="2:9" x14ac:dyDescent="0.25">
      <c r="B752" s="161">
        <v>41449</v>
      </c>
      <c r="C752" s="12" t="s">
        <v>790</v>
      </c>
      <c r="D752" s="12" t="s">
        <v>652</v>
      </c>
      <c r="E752" s="12" t="s">
        <v>804</v>
      </c>
      <c r="F752" s="12" t="s">
        <v>796</v>
      </c>
      <c r="G752" s="55">
        <v>6181</v>
      </c>
      <c r="H752" s="55">
        <v>6611</v>
      </c>
      <c r="I752" s="2" t="b">
        <f t="shared" si="12"/>
        <v>0</v>
      </c>
    </row>
    <row r="753" spans="2:9" x14ac:dyDescent="0.25">
      <c r="B753" s="161">
        <v>41603</v>
      </c>
      <c r="C753" s="12" t="s">
        <v>792</v>
      </c>
      <c r="D753" s="12" t="s">
        <v>457</v>
      </c>
      <c r="E753" s="12" t="s">
        <v>809</v>
      </c>
      <c r="F753" s="12" t="s">
        <v>794</v>
      </c>
      <c r="G753" s="55">
        <v>4281</v>
      </c>
      <c r="H753" s="55">
        <v>9956</v>
      </c>
      <c r="I753" s="2" t="b">
        <f t="shared" si="12"/>
        <v>1</v>
      </c>
    </row>
    <row r="754" spans="2:9" x14ac:dyDescent="0.25">
      <c r="B754" s="161">
        <v>40988</v>
      </c>
      <c r="C754" s="12" t="s">
        <v>805</v>
      </c>
      <c r="D754" s="12" t="s">
        <v>801</v>
      </c>
      <c r="E754" s="12" t="s">
        <v>800</v>
      </c>
      <c r="F754" s="12" t="s">
        <v>796</v>
      </c>
      <c r="G754" s="55">
        <v>878</v>
      </c>
      <c r="H754" s="55">
        <v>1596</v>
      </c>
      <c r="I754" s="2" t="b">
        <f t="shared" si="12"/>
        <v>0</v>
      </c>
    </row>
    <row r="755" spans="2:9" x14ac:dyDescent="0.25">
      <c r="B755" s="161">
        <v>41121</v>
      </c>
      <c r="C755" s="12" t="s">
        <v>802</v>
      </c>
      <c r="D755" s="12" t="s">
        <v>652</v>
      </c>
      <c r="E755" s="12" t="s">
        <v>806</v>
      </c>
      <c r="F755" s="12" t="s">
        <v>791</v>
      </c>
      <c r="G755" s="55">
        <v>2831</v>
      </c>
      <c r="H755" s="55">
        <v>4798</v>
      </c>
      <c r="I755" s="2" t="b">
        <f t="shared" si="12"/>
        <v>0</v>
      </c>
    </row>
    <row r="756" spans="2:9" x14ac:dyDescent="0.25">
      <c r="B756" s="161">
        <v>41317</v>
      </c>
      <c r="C756" s="12" t="s">
        <v>805</v>
      </c>
      <c r="D756" s="12" t="s">
        <v>652</v>
      </c>
      <c r="E756" s="12" t="s">
        <v>808</v>
      </c>
      <c r="F756" s="12" t="s">
        <v>799</v>
      </c>
      <c r="G756" s="55">
        <v>6957</v>
      </c>
      <c r="H756" s="55">
        <v>7439</v>
      </c>
      <c r="I756" s="2" t="b">
        <f t="shared" si="12"/>
        <v>0</v>
      </c>
    </row>
    <row r="757" spans="2:9" x14ac:dyDescent="0.25">
      <c r="B757" s="161">
        <v>41524</v>
      </c>
      <c r="C757" s="12" t="s">
        <v>805</v>
      </c>
      <c r="D757" s="12" t="s">
        <v>457</v>
      </c>
      <c r="E757" s="12" t="s">
        <v>809</v>
      </c>
      <c r="F757" s="12" t="s">
        <v>799</v>
      </c>
      <c r="G757" s="55">
        <v>7885</v>
      </c>
      <c r="H757" s="55">
        <v>8432</v>
      </c>
      <c r="I757" s="2" t="b">
        <f t="shared" si="12"/>
        <v>0</v>
      </c>
    </row>
    <row r="758" spans="2:9" x14ac:dyDescent="0.25">
      <c r="B758" s="161">
        <v>41038</v>
      </c>
      <c r="C758" s="12" t="s">
        <v>792</v>
      </c>
      <c r="D758" s="12" t="s">
        <v>801</v>
      </c>
      <c r="E758" s="12" t="s">
        <v>807</v>
      </c>
      <c r="F758" s="12" t="s">
        <v>799</v>
      </c>
      <c r="G758" s="55">
        <v>4286</v>
      </c>
      <c r="H758" s="55">
        <v>5714</v>
      </c>
      <c r="I758" s="2" t="b">
        <f t="shared" si="12"/>
        <v>0</v>
      </c>
    </row>
    <row r="759" spans="2:9" x14ac:dyDescent="0.25">
      <c r="B759" s="161">
        <v>41199</v>
      </c>
      <c r="C759" s="12" t="s">
        <v>790</v>
      </c>
      <c r="D759" s="12" t="s">
        <v>652</v>
      </c>
      <c r="E759" s="12" t="s">
        <v>809</v>
      </c>
      <c r="F759" s="12" t="s">
        <v>791</v>
      </c>
      <c r="G759" s="55">
        <v>2488</v>
      </c>
      <c r="H759" s="55">
        <v>2661</v>
      </c>
      <c r="I759" s="2" t="b">
        <f t="shared" si="12"/>
        <v>0</v>
      </c>
    </row>
    <row r="760" spans="2:9" x14ac:dyDescent="0.25">
      <c r="B760" s="161">
        <v>40961</v>
      </c>
      <c r="C760" s="12" t="s">
        <v>790</v>
      </c>
      <c r="D760" s="12" t="s">
        <v>797</v>
      </c>
      <c r="E760" s="12" t="s">
        <v>793</v>
      </c>
      <c r="F760" s="12" t="s">
        <v>796</v>
      </c>
      <c r="G760" s="55">
        <v>5713</v>
      </c>
      <c r="H760" s="55">
        <v>9850</v>
      </c>
      <c r="I760" s="2" t="b">
        <f t="shared" si="12"/>
        <v>0</v>
      </c>
    </row>
    <row r="761" spans="2:9" x14ac:dyDescent="0.25">
      <c r="B761" s="161">
        <v>40947</v>
      </c>
      <c r="C761" s="12" t="s">
        <v>790</v>
      </c>
      <c r="D761" s="12" t="s">
        <v>801</v>
      </c>
      <c r="E761" s="12" t="s">
        <v>607</v>
      </c>
      <c r="F761" s="12" t="s">
        <v>791</v>
      </c>
      <c r="G761" s="55">
        <v>6765</v>
      </c>
      <c r="H761" s="55">
        <v>7236</v>
      </c>
      <c r="I761" s="2" t="b">
        <f t="shared" si="12"/>
        <v>0</v>
      </c>
    </row>
    <row r="762" spans="2:9" x14ac:dyDescent="0.25">
      <c r="B762" s="161">
        <v>40957</v>
      </c>
      <c r="C762" s="12" t="s">
        <v>805</v>
      </c>
      <c r="D762" s="12" t="s">
        <v>652</v>
      </c>
      <c r="E762" s="12" t="s">
        <v>808</v>
      </c>
      <c r="F762" s="12" t="s">
        <v>791</v>
      </c>
      <c r="G762" s="55">
        <v>2551</v>
      </c>
      <c r="H762" s="55">
        <v>5667</v>
      </c>
      <c r="I762" s="2" t="b">
        <f t="shared" si="12"/>
        <v>0</v>
      </c>
    </row>
    <row r="763" spans="2:9" x14ac:dyDescent="0.25">
      <c r="B763" s="161">
        <v>41170</v>
      </c>
      <c r="C763" s="12" t="s">
        <v>802</v>
      </c>
      <c r="D763" s="12" t="s">
        <v>797</v>
      </c>
      <c r="E763" s="12" t="s">
        <v>808</v>
      </c>
      <c r="F763" s="12" t="s">
        <v>791</v>
      </c>
      <c r="G763" s="55">
        <v>3339</v>
      </c>
      <c r="H763" s="55">
        <v>7421</v>
      </c>
      <c r="I763" s="2" t="b">
        <f t="shared" si="12"/>
        <v>0</v>
      </c>
    </row>
    <row r="764" spans="2:9" x14ac:dyDescent="0.25">
      <c r="B764" s="161">
        <v>41562</v>
      </c>
      <c r="C764" s="12" t="s">
        <v>790</v>
      </c>
      <c r="D764" s="12" t="s">
        <v>457</v>
      </c>
      <c r="E764" s="12" t="s">
        <v>809</v>
      </c>
      <c r="F764" s="12" t="s">
        <v>799</v>
      </c>
      <c r="G764" s="55">
        <v>926</v>
      </c>
      <c r="H764" s="55">
        <v>2058</v>
      </c>
      <c r="I764" s="2" t="b">
        <f t="shared" si="12"/>
        <v>0</v>
      </c>
    </row>
    <row r="765" spans="2:9" x14ac:dyDescent="0.25">
      <c r="B765" s="161">
        <v>41502</v>
      </c>
      <c r="C765" s="12" t="s">
        <v>805</v>
      </c>
      <c r="D765" s="12" t="s">
        <v>457</v>
      </c>
      <c r="E765" s="12" t="s">
        <v>607</v>
      </c>
      <c r="F765" s="12" t="s">
        <v>796</v>
      </c>
      <c r="G765" s="55">
        <v>4346</v>
      </c>
      <c r="H765" s="55">
        <v>5794</v>
      </c>
      <c r="I765" s="2" t="b">
        <f t="shared" si="12"/>
        <v>0</v>
      </c>
    </row>
    <row r="766" spans="2:9" x14ac:dyDescent="0.25">
      <c r="B766" s="161">
        <v>41530</v>
      </c>
      <c r="C766" s="12" t="s">
        <v>792</v>
      </c>
      <c r="D766" s="12" t="s">
        <v>797</v>
      </c>
      <c r="E766" s="12" t="s">
        <v>795</v>
      </c>
      <c r="F766" s="12" t="s">
        <v>791</v>
      </c>
      <c r="G766" s="55">
        <v>2812</v>
      </c>
      <c r="H766" s="55">
        <v>7600</v>
      </c>
      <c r="I766" s="2" t="b">
        <f t="shared" si="12"/>
        <v>0</v>
      </c>
    </row>
    <row r="767" spans="2:9" x14ac:dyDescent="0.25">
      <c r="B767" s="161">
        <v>40934</v>
      </c>
      <c r="C767" s="12" t="s">
        <v>805</v>
      </c>
      <c r="D767" s="12" t="s">
        <v>797</v>
      </c>
      <c r="E767" s="12" t="s">
        <v>793</v>
      </c>
      <c r="F767" s="12" t="s">
        <v>796</v>
      </c>
      <c r="G767" s="55">
        <v>6227</v>
      </c>
      <c r="H767" s="55">
        <v>9156</v>
      </c>
      <c r="I767" s="2" t="b">
        <f t="shared" si="12"/>
        <v>0</v>
      </c>
    </row>
    <row r="768" spans="2:9" x14ac:dyDescent="0.25">
      <c r="B768" s="161">
        <v>41434</v>
      </c>
      <c r="C768" s="12" t="s">
        <v>790</v>
      </c>
      <c r="D768" s="12" t="s">
        <v>797</v>
      </c>
      <c r="E768" s="12" t="s">
        <v>806</v>
      </c>
      <c r="F768" s="12" t="s">
        <v>799</v>
      </c>
      <c r="G768" s="55">
        <v>2480</v>
      </c>
      <c r="H768" s="55">
        <v>4201</v>
      </c>
      <c r="I768" s="2" t="b">
        <f t="shared" si="12"/>
        <v>0</v>
      </c>
    </row>
    <row r="769" spans="2:9" x14ac:dyDescent="0.25">
      <c r="B769" s="161">
        <v>41239</v>
      </c>
      <c r="C769" s="12" t="s">
        <v>790</v>
      </c>
      <c r="D769" s="12" t="s">
        <v>652</v>
      </c>
      <c r="E769" s="12" t="s">
        <v>607</v>
      </c>
      <c r="F769" s="12" t="s">
        <v>799</v>
      </c>
      <c r="G769" s="55">
        <v>3184</v>
      </c>
      <c r="H769" s="55">
        <v>7407</v>
      </c>
      <c r="I769" s="2" t="b">
        <f t="shared" si="12"/>
        <v>0</v>
      </c>
    </row>
    <row r="770" spans="2:9" x14ac:dyDescent="0.25">
      <c r="B770" s="161">
        <v>41155</v>
      </c>
      <c r="C770" s="12" t="s">
        <v>790</v>
      </c>
      <c r="D770" s="12" t="s">
        <v>797</v>
      </c>
      <c r="E770" s="12" t="s">
        <v>795</v>
      </c>
      <c r="F770" s="12" t="s">
        <v>791</v>
      </c>
      <c r="G770" s="55">
        <v>611</v>
      </c>
      <c r="H770" s="55">
        <v>1356</v>
      </c>
      <c r="I770" s="2" t="b">
        <f t="shared" si="12"/>
        <v>0</v>
      </c>
    </row>
    <row r="771" spans="2:9" x14ac:dyDescent="0.25">
      <c r="B771" s="161">
        <v>41410</v>
      </c>
      <c r="C771" s="12" t="s">
        <v>790</v>
      </c>
      <c r="D771" s="12" t="s">
        <v>797</v>
      </c>
      <c r="E771" s="12" t="s">
        <v>807</v>
      </c>
      <c r="F771" s="12" t="s">
        <v>799</v>
      </c>
      <c r="G771" s="55">
        <v>2888</v>
      </c>
      <c r="H771" s="55">
        <v>4979</v>
      </c>
      <c r="I771" s="2" t="b">
        <f t="shared" si="12"/>
        <v>0</v>
      </c>
    </row>
    <row r="772" spans="2:9" x14ac:dyDescent="0.25">
      <c r="B772" s="161">
        <v>41244</v>
      </c>
      <c r="C772" s="12" t="s">
        <v>790</v>
      </c>
      <c r="D772" s="12" t="s">
        <v>652</v>
      </c>
      <c r="E772" s="12" t="s">
        <v>798</v>
      </c>
      <c r="F772" s="12" t="s">
        <v>791</v>
      </c>
      <c r="G772" s="55">
        <v>7116</v>
      </c>
      <c r="H772" s="55">
        <v>8086</v>
      </c>
      <c r="I772" s="2" t="b">
        <f t="shared" si="12"/>
        <v>0</v>
      </c>
    </row>
    <row r="773" spans="2:9" x14ac:dyDescent="0.25">
      <c r="B773" s="161">
        <v>41550</v>
      </c>
      <c r="C773" s="12" t="s">
        <v>790</v>
      </c>
      <c r="D773" s="12" t="s">
        <v>652</v>
      </c>
      <c r="E773" s="12" t="s">
        <v>795</v>
      </c>
      <c r="F773" s="12" t="s">
        <v>796</v>
      </c>
      <c r="G773" s="55">
        <v>2776</v>
      </c>
      <c r="H773" s="55">
        <v>6453</v>
      </c>
      <c r="I773" s="2" t="b">
        <f t="shared" si="12"/>
        <v>0</v>
      </c>
    </row>
    <row r="774" spans="2:9" x14ac:dyDescent="0.25">
      <c r="B774" s="161">
        <v>41270</v>
      </c>
      <c r="C774" s="12" t="s">
        <v>802</v>
      </c>
      <c r="D774" s="12" t="s">
        <v>801</v>
      </c>
      <c r="E774" s="12" t="s">
        <v>795</v>
      </c>
      <c r="F774" s="12" t="s">
        <v>796</v>
      </c>
      <c r="G774" s="55">
        <v>6102</v>
      </c>
      <c r="H774" s="55">
        <v>8972</v>
      </c>
      <c r="I774" s="2" t="b">
        <f t="shared" si="12"/>
        <v>0</v>
      </c>
    </row>
    <row r="775" spans="2:9" x14ac:dyDescent="0.25">
      <c r="B775" s="161">
        <v>41149</v>
      </c>
      <c r="C775" s="12" t="s">
        <v>805</v>
      </c>
      <c r="D775" s="12" t="s">
        <v>457</v>
      </c>
      <c r="E775" s="12" t="s">
        <v>807</v>
      </c>
      <c r="F775" s="12" t="s">
        <v>796</v>
      </c>
      <c r="G775" s="55">
        <v>7899</v>
      </c>
      <c r="H775" s="55">
        <v>8977</v>
      </c>
      <c r="I775" s="2" t="b">
        <f t="shared" ref="I775:I838" si="13">AND($K$9=C775,$L$9=D775,$M$9=F775)</f>
        <v>0</v>
      </c>
    </row>
    <row r="776" spans="2:9" x14ac:dyDescent="0.25">
      <c r="B776" s="161">
        <v>41602</v>
      </c>
      <c r="C776" s="12" t="s">
        <v>792</v>
      </c>
      <c r="D776" s="12" t="s">
        <v>457</v>
      </c>
      <c r="E776" s="12" t="s">
        <v>804</v>
      </c>
      <c r="F776" s="12" t="s">
        <v>799</v>
      </c>
      <c r="G776" s="55">
        <v>2960</v>
      </c>
      <c r="H776" s="55">
        <v>5102</v>
      </c>
      <c r="I776" s="2" t="b">
        <f t="shared" si="13"/>
        <v>0</v>
      </c>
    </row>
    <row r="777" spans="2:9" x14ac:dyDescent="0.25">
      <c r="B777" s="161">
        <v>41021</v>
      </c>
      <c r="C777" s="12" t="s">
        <v>792</v>
      </c>
      <c r="D777" s="12" t="s">
        <v>797</v>
      </c>
      <c r="E777" s="12" t="s">
        <v>803</v>
      </c>
      <c r="F777" s="12" t="s">
        <v>791</v>
      </c>
      <c r="G777" s="55">
        <v>3211</v>
      </c>
      <c r="H777" s="55">
        <v>7467</v>
      </c>
      <c r="I777" s="2" t="b">
        <f t="shared" si="13"/>
        <v>0</v>
      </c>
    </row>
    <row r="778" spans="2:9" x14ac:dyDescent="0.25">
      <c r="B778" s="161">
        <v>41261</v>
      </c>
      <c r="C778" s="12" t="s">
        <v>790</v>
      </c>
      <c r="D778" s="12" t="s">
        <v>457</v>
      </c>
      <c r="E778" s="12" t="s">
        <v>795</v>
      </c>
      <c r="F778" s="12" t="s">
        <v>796</v>
      </c>
      <c r="G778" s="55">
        <v>758</v>
      </c>
      <c r="H778" s="55">
        <v>1763</v>
      </c>
      <c r="I778" s="2" t="b">
        <f t="shared" si="13"/>
        <v>0</v>
      </c>
    </row>
    <row r="779" spans="2:9" x14ac:dyDescent="0.25">
      <c r="B779" s="161">
        <v>41637</v>
      </c>
      <c r="C779" s="12" t="s">
        <v>802</v>
      </c>
      <c r="D779" s="12" t="s">
        <v>797</v>
      </c>
      <c r="E779" s="12" t="s">
        <v>795</v>
      </c>
      <c r="F779" s="12" t="s">
        <v>796</v>
      </c>
      <c r="G779" s="55">
        <v>5624</v>
      </c>
      <c r="H779" s="55">
        <v>9530</v>
      </c>
      <c r="I779" s="2" t="b">
        <f t="shared" si="13"/>
        <v>0</v>
      </c>
    </row>
    <row r="780" spans="2:9" x14ac:dyDescent="0.25">
      <c r="B780" s="161">
        <v>41356</v>
      </c>
      <c r="C780" s="12" t="s">
        <v>802</v>
      </c>
      <c r="D780" s="12" t="s">
        <v>797</v>
      </c>
      <c r="E780" s="12" t="s">
        <v>809</v>
      </c>
      <c r="F780" s="12" t="s">
        <v>791</v>
      </c>
      <c r="G780" s="55">
        <v>5257</v>
      </c>
      <c r="H780" s="55">
        <v>8909</v>
      </c>
      <c r="I780" s="2" t="b">
        <f t="shared" si="13"/>
        <v>0</v>
      </c>
    </row>
    <row r="781" spans="2:9" x14ac:dyDescent="0.25">
      <c r="B781" s="161">
        <v>41565</v>
      </c>
      <c r="C781" s="12" t="s">
        <v>802</v>
      </c>
      <c r="D781" s="12" t="s">
        <v>797</v>
      </c>
      <c r="E781" s="12" t="s">
        <v>800</v>
      </c>
      <c r="F781" s="12" t="s">
        <v>791</v>
      </c>
      <c r="G781" s="55">
        <v>428</v>
      </c>
      <c r="H781" s="55">
        <v>630</v>
      </c>
      <c r="I781" s="2" t="b">
        <f t="shared" si="13"/>
        <v>0</v>
      </c>
    </row>
    <row r="782" spans="2:9" x14ac:dyDescent="0.25">
      <c r="B782" s="161">
        <v>41116</v>
      </c>
      <c r="C782" s="12" t="s">
        <v>805</v>
      </c>
      <c r="D782" s="12" t="s">
        <v>457</v>
      </c>
      <c r="E782" s="12" t="s">
        <v>795</v>
      </c>
      <c r="F782" s="12" t="s">
        <v>796</v>
      </c>
      <c r="G782" s="55">
        <v>3914</v>
      </c>
      <c r="H782" s="55">
        <v>5219</v>
      </c>
      <c r="I782" s="2" t="b">
        <f t="shared" si="13"/>
        <v>0</v>
      </c>
    </row>
    <row r="783" spans="2:9" x14ac:dyDescent="0.25">
      <c r="B783" s="161">
        <v>41028</v>
      </c>
      <c r="C783" s="12" t="s">
        <v>790</v>
      </c>
      <c r="D783" s="12" t="s">
        <v>652</v>
      </c>
      <c r="E783" s="12" t="s">
        <v>807</v>
      </c>
      <c r="F783" s="12" t="s">
        <v>796</v>
      </c>
      <c r="G783" s="55">
        <v>2715</v>
      </c>
      <c r="H783" s="55">
        <v>3992</v>
      </c>
      <c r="I783" s="2" t="b">
        <f t="shared" si="13"/>
        <v>0</v>
      </c>
    </row>
    <row r="784" spans="2:9" x14ac:dyDescent="0.25">
      <c r="B784" s="161">
        <v>41272</v>
      </c>
      <c r="C784" s="12" t="s">
        <v>790</v>
      </c>
      <c r="D784" s="12" t="s">
        <v>652</v>
      </c>
      <c r="E784" s="12" t="s">
        <v>798</v>
      </c>
      <c r="F784" s="12" t="s">
        <v>799</v>
      </c>
      <c r="G784" s="55">
        <v>2769</v>
      </c>
      <c r="H784" s="55">
        <v>3145</v>
      </c>
      <c r="I784" s="2" t="b">
        <f t="shared" si="13"/>
        <v>0</v>
      </c>
    </row>
    <row r="785" spans="2:9" x14ac:dyDescent="0.25">
      <c r="B785" s="161">
        <v>41229</v>
      </c>
      <c r="C785" s="12" t="s">
        <v>805</v>
      </c>
      <c r="D785" s="12" t="s">
        <v>797</v>
      </c>
      <c r="E785" s="12" t="s">
        <v>808</v>
      </c>
      <c r="F785" s="12" t="s">
        <v>796</v>
      </c>
      <c r="G785" s="55">
        <v>4919</v>
      </c>
      <c r="H785" s="55">
        <v>8945</v>
      </c>
      <c r="I785" s="2" t="b">
        <f t="shared" si="13"/>
        <v>0</v>
      </c>
    </row>
    <row r="786" spans="2:9" x14ac:dyDescent="0.25">
      <c r="B786" s="161">
        <v>41147</v>
      </c>
      <c r="C786" s="12" t="s">
        <v>802</v>
      </c>
      <c r="D786" s="12" t="s">
        <v>801</v>
      </c>
      <c r="E786" s="12" t="s">
        <v>809</v>
      </c>
      <c r="F786" s="12" t="s">
        <v>794</v>
      </c>
      <c r="G786" s="55">
        <v>1042</v>
      </c>
      <c r="H786" s="55">
        <v>2815</v>
      </c>
      <c r="I786" s="2" t="b">
        <f t="shared" si="13"/>
        <v>0</v>
      </c>
    </row>
    <row r="787" spans="2:9" x14ac:dyDescent="0.25">
      <c r="B787" s="161">
        <v>41458</v>
      </c>
      <c r="C787" s="12" t="s">
        <v>790</v>
      </c>
      <c r="D787" s="12" t="s">
        <v>652</v>
      </c>
      <c r="E787" s="12" t="s">
        <v>803</v>
      </c>
      <c r="F787" s="12" t="s">
        <v>799</v>
      </c>
      <c r="G787" s="55">
        <v>3141</v>
      </c>
      <c r="H787" s="55">
        <v>5711</v>
      </c>
      <c r="I787" s="2" t="b">
        <f t="shared" si="13"/>
        <v>0</v>
      </c>
    </row>
    <row r="788" spans="2:9" x14ac:dyDescent="0.25">
      <c r="B788" s="161">
        <v>41245</v>
      </c>
      <c r="C788" s="12" t="s">
        <v>802</v>
      </c>
      <c r="D788" s="12" t="s">
        <v>801</v>
      </c>
      <c r="E788" s="12" t="s">
        <v>487</v>
      </c>
      <c r="F788" s="12" t="s">
        <v>794</v>
      </c>
      <c r="G788" s="55">
        <v>3291</v>
      </c>
      <c r="H788" s="55">
        <v>5674</v>
      </c>
      <c r="I788" s="2" t="b">
        <f t="shared" si="13"/>
        <v>0</v>
      </c>
    </row>
    <row r="789" spans="2:9" x14ac:dyDescent="0.25">
      <c r="B789" s="161">
        <v>41418</v>
      </c>
      <c r="C789" s="12" t="s">
        <v>802</v>
      </c>
      <c r="D789" s="12" t="s">
        <v>801</v>
      </c>
      <c r="E789" s="12" t="s">
        <v>803</v>
      </c>
      <c r="F789" s="12" t="s">
        <v>796</v>
      </c>
      <c r="G789" s="55">
        <v>3591</v>
      </c>
      <c r="H789" s="55">
        <v>5281</v>
      </c>
      <c r="I789" s="2" t="b">
        <f t="shared" si="13"/>
        <v>0</v>
      </c>
    </row>
    <row r="790" spans="2:9" x14ac:dyDescent="0.25">
      <c r="B790" s="161">
        <v>41226</v>
      </c>
      <c r="C790" s="12" t="s">
        <v>805</v>
      </c>
      <c r="D790" s="12" t="s">
        <v>801</v>
      </c>
      <c r="E790" s="12" t="s">
        <v>798</v>
      </c>
      <c r="F790" s="12" t="s">
        <v>794</v>
      </c>
      <c r="G790" s="55">
        <v>3654</v>
      </c>
      <c r="H790" s="55">
        <v>9875</v>
      </c>
      <c r="I790" s="2" t="b">
        <f t="shared" si="13"/>
        <v>0</v>
      </c>
    </row>
    <row r="791" spans="2:9" x14ac:dyDescent="0.25">
      <c r="B791" s="161">
        <v>41482</v>
      </c>
      <c r="C791" s="12" t="s">
        <v>792</v>
      </c>
      <c r="D791" s="12" t="s">
        <v>797</v>
      </c>
      <c r="E791" s="12" t="s">
        <v>804</v>
      </c>
      <c r="F791" s="12" t="s">
        <v>796</v>
      </c>
      <c r="G791" s="55">
        <v>2807</v>
      </c>
      <c r="H791" s="55">
        <v>5105</v>
      </c>
      <c r="I791" s="2" t="b">
        <f t="shared" si="13"/>
        <v>0</v>
      </c>
    </row>
    <row r="792" spans="2:9" x14ac:dyDescent="0.25">
      <c r="B792" s="161">
        <v>41118</v>
      </c>
      <c r="C792" s="12" t="s">
        <v>805</v>
      </c>
      <c r="D792" s="12" t="s">
        <v>801</v>
      </c>
      <c r="E792" s="12" t="s">
        <v>487</v>
      </c>
      <c r="F792" s="12" t="s">
        <v>799</v>
      </c>
      <c r="G792" s="55">
        <v>4022</v>
      </c>
      <c r="H792" s="55">
        <v>8936</v>
      </c>
      <c r="I792" s="2" t="b">
        <f t="shared" si="13"/>
        <v>0</v>
      </c>
    </row>
    <row r="793" spans="2:9" x14ac:dyDescent="0.25">
      <c r="B793" s="161">
        <v>41622</v>
      </c>
      <c r="C793" s="12" t="s">
        <v>802</v>
      </c>
      <c r="D793" s="12" t="s">
        <v>797</v>
      </c>
      <c r="E793" s="12" t="s">
        <v>808</v>
      </c>
      <c r="F793" s="12" t="s">
        <v>791</v>
      </c>
      <c r="G793" s="55">
        <v>700</v>
      </c>
      <c r="H793" s="55">
        <v>1206</v>
      </c>
      <c r="I793" s="2" t="b">
        <f t="shared" si="13"/>
        <v>0</v>
      </c>
    </row>
    <row r="794" spans="2:9" x14ac:dyDescent="0.25">
      <c r="B794" s="161">
        <v>41525</v>
      </c>
      <c r="C794" s="12" t="s">
        <v>792</v>
      </c>
      <c r="D794" s="12" t="s">
        <v>457</v>
      </c>
      <c r="E794" s="12" t="s">
        <v>806</v>
      </c>
      <c r="F794" s="12" t="s">
        <v>799</v>
      </c>
      <c r="G794" s="55">
        <v>1908</v>
      </c>
      <c r="H794" s="55">
        <v>4436</v>
      </c>
      <c r="I794" s="2" t="b">
        <f t="shared" si="13"/>
        <v>0</v>
      </c>
    </row>
    <row r="795" spans="2:9" x14ac:dyDescent="0.25">
      <c r="B795" s="161">
        <v>40917</v>
      </c>
      <c r="C795" s="12" t="s">
        <v>802</v>
      </c>
      <c r="D795" s="12" t="s">
        <v>652</v>
      </c>
      <c r="E795" s="12" t="s">
        <v>795</v>
      </c>
      <c r="F795" s="12" t="s">
        <v>794</v>
      </c>
      <c r="G795" s="55">
        <v>1223</v>
      </c>
      <c r="H795" s="55">
        <v>1630</v>
      </c>
      <c r="I795" s="2" t="b">
        <f t="shared" si="13"/>
        <v>0</v>
      </c>
    </row>
    <row r="796" spans="2:9" x14ac:dyDescent="0.25">
      <c r="B796" s="161">
        <v>41496</v>
      </c>
      <c r="C796" s="12" t="s">
        <v>790</v>
      </c>
      <c r="D796" s="12" t="s">
        <v>801</v>
      </c>
      <c r="E796" s="12" t="s">
        <v>798</v>
      </c>
      <c r="F796" s="12" t="s">
        <v>796</v>
      </c>
      <c r="G796" s="55">
        <v>945</v>
      </c>
      <c r="H796" s="55">
        <v>2553</v>
      </c>
      <c r="I796" s="2" t="b">
        <f t="shared" si="13"/>
        <v>0</v>
      </c>
    </row>
    <row r="797" spans="2:9" x14ac:dyDescent="0.25">
      <c r="B797" s="161">
        <v>41217</v>
      </c>
      <c r="C797" s="12" t="s">
        <v>790</v>
      </c>
      <c r="D797" s="12" t="s">
        <v>797</v>
      </c>
      <c r="E797" s="12" t="s">
        <v>804</v>
      </c>
      <c r="F797" s="12" t="s">
        <v>791</v>
      </c>
      <c r="G797" s="55">
        <v>5753</v>
      </c>
      <c r="H797" s="55">
        <v>9920</v>
      </c>
      <c r="I797" s="2" t="b">
        <f t="shared" si="13"/>
        <v>0</v>
      </c>
    </row>
    <row r="798" spans="2:9" x14ac:dyDescent="0.25">
      <c r="B798" s="161">
        <v>41554</v>
      </c>
      <c r="C798" s="12" t="s">
        <v>805</v>
      </c>
      <c r="D798" s="12" t="s">
        <v>797</v>
      </c>
      <c r="E798" s="12" t="s">
        <v>804</v>
      </c>
      <c r="F798" s="12" t="s">
        <v>796</v>
      </c>
      <c r="G798" s="55">
        <v>5418</v>
      </c>
      <c r="H798" s="55">
        <v>9341</v>
      </c>
      <c r="I798" s="2" t="b">
        <f t="shared" si="13"/>
        <v>0</v>
      </c>
    </row>
    <row r="799" spans="2:9" x14ac:dyDescent="0.25">
      <c r="B799" s="161">
        <v>41002</v>
      </c>
      <c r="C799" s="12" t="s">
        <v>805</v>
      </c>
      <c r="D799" s="12" t="s">
        <v>801</v>
      </c>
      <c r="E799" s="12" t="s">
        <v>487</v>
      </c>
      <c r="F799" s="12" t="s">
        <v>796</v>
      </c>
      <c r="G799" s="55">
        <v>220</v>
      </c>
      <c r="H799" s="55">
        <v>322</v>
      </c>
      <c r="I799" s="2" t="b">
        <f t="shared" si="13"/>
        <v>0</v>
      </c>
    </row>
    <row r="800" spans="2:9" x14ac:dyDescent="0.25">
      <c r="B800" s="161">
        <v>41234</v>
      </c>
      <c r="C800" s="12" t="s">
        <v>792</v>
      </c>
      <c r="D800" s="12" t="s">
        <v>457</v>
      </c>
      <c r="E800" s="12" t="s">
        <v>795</v>
      </c>
      <c r="F800" s="12" t="s">
        <v>799</v>
      </c>
      <c r="G800" s="55">
        <v>398</v>
      </c>
      <c r="H800" s="55">
        <v>1073</v>
      </c>
      <c r="I800" s="2" t="b">
        <f t="shared" si="13"/>
        <v>0</v>
      </c>
    </row>
    <row r="801" spans="2:9" x14ac:dyDescent="0.25">
      <c r="B801" s="161">
        <v>41137</v>
      </c>
      <c r="C801" s="12" t="s">
        <v>805</v>
      </c>
      <c r="D801" s="12" t="s">
        <v>801</v>
      </c>
      <c r="E801" s="12" t="s">
        <v>607</v>
      </c>
      <c r="F801" s="12" t="s">
        <v>794</v>
      </c>
      <c r="G801" s="55">
        <v>5014</v>
      </c>
      <c r="H801" s="55">
        <v>5698</v>
      </c>
      <c r="I801" s="2" t="b">
        <f t="shared" si="13"/>
        <v>0</v>
      </c>
    </row>
    <row r="802" spans="2:9" x14ac:dyDescent="0.25">
      <c r="B802" s="161">
        <v>41261</v>
      </c>
      <c r="C802" s="12" t="s">
        <v>805</v>
      </c>
      <c r="D802" s="12" t="s">
        <v>652</v>
      </c>
      <c r="E802" s="12" t="s">
        <v>800</v>
      </c>
      <c r="F802" s="12" t="s">
        <v>791</v>
      </c>
      <c r="G802" s="55">
        <v>4920</v>
      </c>
      <c r="H802" s="55">
        <v>8483</v>
      </c>
      <c r="I802" s="2" t="b">
        <f t="shared" si="13"/>
        <v>0</v>
      </c>
    </row>
    <row r="803" spans="2:9" x14ac:dyDescent="0.25">
      <c r="B803" s="161">
        <v>40930</v>
      </c>
      <c r="C803" s="12" t="s">
        <v>802</v>
      </c>
      <c r="D803" s="12" t="s">
        <v>652</v>
      </c>
      <c r="E803" s="12" t="s">
        <v>804</v>
      </c>
      <c r="F803" s="12" t="s">
        <v>799</v>
      </c>
      <c r="G803" s="55">
        <v>2134</v>
      </c>
      <c r="H803" s="55">
        <v>2281</v>
      </c>
      <c r="I803" s="2" t="b">
        <f t="shared" si="13"/>
        <v>0</v>
      </c>
    </row>
    <row r="804" spans="2:9" x14ac:dyDescent="0.25">
      <c r="B804" s="161">
        <v>41091</v>
      </c>
      <c r="C804" s="12" t="s">
        <v>792</v>
      </c>
      <c r="D804" s="12" t="s">
        <v>797</v>
      </c>
      <c r="E804" s="12" t="s">
        <v>807</v>
      </c>
      <c r="F804" s="12" t="s">
        <v>791</v>
      </c>
      <c r="G804" s="55">
        <v>2448</v>
      </c>
      <c r="H804" s="55">
        <v>2620</v>
      </c>
      <c r="I804" s="2" t="b">
        <f t="shared" si="13"/>
        <v>0</v>
      </c>
    </row>
    <row r="805" spans="2:9" x14ac:dyDescent="0.25">
      <c r="B805" s="161">
        <v>41589</v>
      </c>
      <c r="C805" s="12" t="s">
        <v>805</v>
      </c>
      <c r="D805" s="12" t="s">
        <v>797</v>
      </c>
      <c r="E805" s="12" t="s">
        <v>487</v>
      </c>
      <c r="F805" s="12" t="s">
        <v>791</v>
      </c>
      <c r="G805" s="55">
        <v>1804</v>
      </c>
      <c r="H805" s="55">
        <v>4875</v>
      </c>
      <c r="I805" s="2" t="b">
        <f t="shared" si="13"/>
        <v>0</v>
      </c>
    </row>
    <row r="806" spans="2:9" x14ac:dyDescent="0.25">
      <c r="B806" s="161">
        <v>41335</v>
      </c>
      <c r="C806" s="12" t="s">
        <v>802</v>
      </c>
      <c r="D806" s="12" t="s">
        <v>652</v>
      </c>
      <c r="E806" s="12" t="s">
        <v>795</v>
      </c>
      <c r="F806" s="12" t="s">
        <v>794</v>
      </c>
      <c r="G806" s="55">
        <v>4428</v>
      </c>
      <c r="H806" s="55">
        <v>7504</v>
      </c>
      <c r="I806" s="2" t="b">
        <f t="shared" si="13"/>
        <v>0</v>
      </c>
    </row>
    <row r="807" spans="2:9" x14ac:dyDescent="0.25">
      <c r="B807" s="161">
        <v>41333</v>
      </c>
      <c r="C807" s="12" t="s">
        <v>805</v>
      </c>
      <c r="D807" s="12" t="s">
        <v>797</v>
      </c>
      <c r="E807" s="12" t="s">
        <v>798</v>
      </c>
      <c r="F807" s="12" t="s">
        <v>799</v>
      </c>
      <c r="G807" s="55">
        <v>213</v>
      </c>
      <c r="H807" s="55">
        <v>496</v>
      </c>
      <c r="I807" s="2" t="b">
        <f t="shared" si="13"/>
        <v>0</v>
      </c>
    </row>
    <row r="808" spans="2:9" x14ac:dyDescent="0.25">
      <c r="B808" s="161">
        <v>41269</v>
      </c>
      <c r="C808" s="12" t="s">
        <v>802</v>
      </c>
      <c r="D808" s="12" t="s">
        <v>457</v>
      </c>
      <c r="E808" s="12" t="s">
        <v>803</v>
      </c>
      <c r="F808" s="12" t="s">
        <v>796</v>
      </c>
      <c r="G808" s="55">
        <v>8599</v>
      </c>
      <c r="H808" s="55">
        <v>9197</v>
      </c>
      <c r="I808" s="2" t="b">
        <f t="shared" si="13"/>
        <v>0</v>
      </c>
    </row>
    <row r="809" spans="2:9" x14ac:dyDescent="0.25">
      <c r="B809" s="161">
        <v>41314</v>
      </c>
      <c r="C809" s="12" t="s">
        <v>790</v>
      </c>
      <c r="D809" s="12" t="s">
        <v>652</v>
      </c>
      <c r="E809" s="12" t="s">
        <v>798</v>
      </c>
      <c r="F809" s="12" t="s">
        <v>794</v>
      </c>
      <c r="G809" s="55">
        <v>1836</v>
      </c>
      <c r="H809" s="55">
        <v>4269</v>
      </c>
      <c r="I809" s="2" t="b">
        <f t="shared" si="13"/>
        <v>0</v>
      </c>
    </row>
    <row r="810" spans="2:9" x14ac:dyDescent="0.25">
      <c r="B810" s="161">
        <v>41563</v>
      </c>
      <c r="C810" s="12" t="s">
        <v>805</v>
      </c>
      <c r="D810" s="12" t="s">
        <v>652</v>
      </c>
      <c r="E810" s="12" t="s">
        <v>806</v>
      </c>
      <c r="F810" s="12" t="s">
        <v>796</v>
      </c>
      <c r="G810" s="55">
        <v>3396</v>
      </c>
      <c r="H810" s="55">
        <v>7545</v>
      </c>
      <c r="I810" s="2" t="b">
        <f t="shared" si="13"/>
        <v>0</v>
      </c>
    </row>
    <row r="811" spans="2:9" x14ac:dyDescent="0.25">
      <c r="B811" s="161">
        <v>41278</v>
      </c>
      <c r="C811" s="12" t="s">
        <v>805</v>
      </c>
      <c r="D811" s="12" t="s">
        <v>652</v>
      </c>
      <c r="E811" s="12" t="s">
        <v>804</v>
      </c>
      <c r="F811" s="12" t="s">
        <v>799</v>
      </c>
      <c r="G811" s="55">
        <v>4159</v>
      </c>
      <c r="H811" s="55">
        <v>5545</v>
      </c>
      <c r="I811" s="2" t="b">
        <f t="shared" si="13"/>
        <v>0</v>
      </c>
    </row>
    <row r="812" spans="2:9" x14ac:dyDescent="0.25">
      <c r="B812" s="161">
        <v>41547</v>
      </c>
      <c r="C812" s="12" t="s">
        <v>802</v>
      </c>
      <c r="D812" s="12" t="s">
        <v>797</v>
      </c>
      <c r="E812" s="12" t="s">
        <v>795</v>
      </c>
      <c r="F812" s="12" t="s">
        <v>799</v>
      </c>
      <c r="G812" s="55">
        <v>2122</v>
      </c>
      <c r="H812" s="55">
        <v>4716</v>
      </c>
      <c r="I812" s="2" t="b">
        <f t="shared" si="13"/>
        <v>0</v>
      </c>
    </row>
    <row r="813" spans="2:9" x14ac:dyDescent="0.25">
      <c r="B813" s="161">
        <v>41157</v>
      </c>
      <c r="C813" s="12" t="s">
        <v>805</v>
      </c>
      <c r="D813" s="12" t="s">
        <v>652</v>
      </c>
      <c r="E813" s="12" t="s">
        <v>793</v>
      </c>
      <c r="F813" s="12" t="s">
        <v>796</v>
      </c>
      <c r="G813" s="55">
        <v>5487</v>
      </c>
      <c r="H813" s="55">
        <v>5869</v>
      </c>
      <c r="I813" s="2" t="b">
        <f t="shared" si="13"/>
        <v>0</v>
      </c>
    </row>
    <row r="814" spans="2:9" x14ac:dyDescent="0.25">
      <c r="B814" s="161">
        <v>41632</v>
      </c>
      <c r="C814" s="12" t="s">
        <v>790</v>
      </c>
      <c r="D814" s="12" t="s">
        <v>652</v>
      </c>
      <c r="E814" s="12" t="s">
        <v>806</v>
      </c>
      <c r="F814" s="12" t="s">
        <v>794</v>
      </c>
      <c r="G814" s="55">
        <v>322</v>
      </c>
      <c r="H814" s="55">
        <v>556</v>
      </c>
      <c r="I814" s="2" t="b">
        <f t="shared" si="13"/>
        <v>0</v>
      </c>
    </row>
    <row r="815" spans="2:9" x14ac:dyDescent="0.25">
      <c r="B815" s="161">
        <v>40940</v>
      </c>
      <c r="C815" s="12" t="s">
        <v>802</v>
      </c>
      <c r="D815" s="12" t="s">
        <v>797</v>
      </c>
      <c r="E815" s="12" t="s">
        <v>487</v>
      </c>
      <c r="F815" s="12" t="s">
        <v>794</v>
      </c>
      <c r="G815" s="55">
        <v>3033</v>
      </c>
      <c r="H815" s="55">
        <v>6737</v>
      </c>
      <c r="I815" s="2" t="b">
        <f t="shared" si="13"/>
        <v>0</v>
      </c>
    </row>
    <row r="816" spans="2:9" x14ac:dyDescent="0.25">
      <c r="B816" s="161">
        <v>41266</v>
      </c>
      <c r="C816" s="12" t="s">
        <v>790</v>
      </c>
      <c r="D816" s="12" t="s">
        <v>801</v>
      </c>
      <c r="E816" s="12" t="s">
        <v>798</v>
      </c>
      <c r="F816" s="12" t="s">
        <v>796</v>
      </c>
      <c r="G816" s="55">
        <v>7134</v>
      </c>
      <c r="H816" s="55">
        <v>8107</v>
      </c>
      <c r="I816" s="2" t="b">
        <f t="shared" si="13"/>
        <v>0</v>
      </c>
    </row>
    <row r="817" spans="2:9" x14ac:dyDescent="0.25">
      <c r="B817" s="161">
        <v>41279</v>
      </c>
      <c r="C817" s="12" t="s">
        <v>802</v>
      </c>
      <c r="D817" s="12" t="s">
        <v>801</v>
      </c>
      <c r="E817" s="12" t="s">
        <v>795</v>
      </c>
      <c r="F817" s="12" t="s">
        <v>799</v>
      </c>
      <c r="G817" s="55">
        <v>849</v>
      </c>
      <c r="H817" s="55">
        <v>1887</v>
      </c>
      <c r="I817" s="2" t="b">
        <f t="shared" si="13"/>
        <v>0</v>
      </c>
    </row>
    <row r="818" spans="2:9" x14ac:dyDescent="0.25">
      <c r="B818" s="161">
        <v>41426</v>
      </c>
      <c r="C818" s="12" t="s">
        <v>802</v>
      </c>
      <c r="D818" s="12" t="s">
        <v>652</v>
      </c>
      <c r="E818" s="12" t="s">
        <v>607</v>
      </c>
      <c r="F818" s="12" t="s">
        <v>796</v>
      </c>
      <c r="G818" s="55">
        <v>298</v>
      </c>
      <c r="H818" s="55">
        <v>539</v>
      </c>
      <c r="I818" s="2" t="b">
        <f t="shared" si="13"/>
        <v>0</v>
      </c>
    </row>
    <row r="819" spans="2:9" x14ac:dyDescent="0.25">
      <c r="B819" s="161">
        <v>41002</v>
      </c>
      <c r="C819" s="12" t="s">
        <v>790</v>
      </c>
      <c r="D819" s="12" t="s">
        <v>457</v>
      </c>
      <c r="E819" s="12" t="s">
        <v>807</v>
      </c>
      <c r="F819" s="12" t="s">
        <v>799</v>
      </c>
      <c r="G819" s="55">
        <v>7959</v>
      </c>
      <c r="H819" s="55">
        <v>9045</v>
      </c>
      <c r="I819" s="2" t="b">
        <f t="shared" si="13"/>
        <v>0</v>
      </c>
    </row>
    <row r="820" spans="2:9" x14ac:dyDescent="0.25">
      <c r="B820" s="161">
        <v>40934</v>
      </c>
      <c r="C820" s="12" t="s">
        <v>790</v>
      </c>
      <c r="D820" s="12" t="s">
        <v>797</v>
      </c>
      <c r="E820" s="12" t="s">
        <v>803</v>
      </c>
      <c r="F820" s="12" t="s">
        <v>796</v>
      </c>
      <c r="G820" s="55">
        <v>2612</v>
      </c>
      <c r="H820" s="55">
        <v>3841</v>
      </c>
      <c r="I820" s="2" t="b">
        <f t="shared" si="13"/>
        <v>0</v>
      </c>
    </row>
    <row r="821" spans="2:9" x14ac:dyDescent="0.25">
      <c r="B821" s="161">
        <v>41634</v>
      </c>
      <c r="C821" s="12" t="s">
        <v>805</v>
      </c>
      <c r="D821" s="12" t="s">
        <v>457</v>
      </c>
      <c r="E821" s="12" t="s">
        <v>806</v>
      </c>
      <c r="F821" s="12" t="s">
        <v>799</v>
      </c>
      <c r="G821" s="55">
        <v>5533</v>
      </c>
      <c r="H821" s="55">
        <v>5919</v>
      </c>
      <c r="I821" s="2" t="b">
        <f t="shared" si="13"/>
        <v>0</v>
      </c>
    </row>
    <row r="822" spans="2:9" x14ac:dyDescent="0.25">
      <c r="B822" s="161">
        <v>41601</v>
      </c>
      <c r="C822" s="12" t="s">
        <v>802</v>
      </c>
      <c r="D822" s="12" t="s">
        <v>801</v>
      </c>
      <c r="E822" s="12" t="s">
        <v>800</v>
      </c>
      <c r="F822" s="12" t="s">
        <v>796</v>
      </c>
      <c r="G822" s="55">
        <v>3668</v>
      </c>
      <c r="H822" s="55">
        <v>4889</v>
      </c>
      <c r="I822" s="2" t="b">
        <f t="shared" si="13"/>
        <v>0</v>
      </c>
    </row>
    <row r="823" spans="2:9" x14ac:dyDescent="0.25">
      <c r="B823" s="161">
        <v>41412</v>
      </c>
      <c r="C823" s="12" t="s">
        <v>790</v>
      </c>
      <c r="D823" s="12" t="s">
        <v>652</v>
      </c>
      <c r="E823" s="12" t="s">
        <v>795</v>
      </c>
      <c r="F823" s="12" t="s">
        <v>796</v>
      </c>
      <c r="G823" s="55">
        <v>5309</v>
      </c>
      <c r="H823" s="55">
        <v>9654</v>
      </c>
      <c r="I823" s="2" t="b">
        <f t="shared" si="13"/>
        <v>0</v>
      </c>
    </row>
    <row r="824" spans="2:9" x14ac:dyDescent="0.25">
      <c r="B824" s="161">
        <v>41242</v>
      </c>
      <c r="C824" s="12" t="s">
        <v>792</v>
      </c>
      <c r="D824" s="12" t="s">
        <v>457</v>
      </c>
      <c r="E824" s="12" t="s">
        <v>806</v>
      </c>
      <c r="F824" s="12" t="s">
        <v>796</v>
      </c>
      <c r="G824" s="55">
        <v>2670</v>
      </c>
      <c r="H824" s="55">
        <v>5933</v>
      </c>
      <c r="I824" s="2" t="b">
        <f t="shared" si="13"/>
        <v>0</v>
      </c>
    </row>
    <row r="825" spans="2:9" x14ac:dyDescent="0.25">
      <c r="B825" s="161">
        <v>41229</v>
      </c>
      <c r="C825" s="12" t="s">
        <v>802</v>
      </c>
      <c r="D825" s="12" t="s">
        <v>797</v>
      </c>
      <c r="E825" s="12" t="s">
        <v>800</v>
      </c>
      <c r="F825" s="12" t="s">
        <v>799</v>
      </c>
      <c r="G825" s="55">
        <v>816</v>
      </c>
      <c r="H825" s="55">
        <v>1408</v>
      </c>
      <c r="I825" s="2" t="b">
        <f t="shared" si="13"/>
        <v>0</v>
      </c>
    </row>
    <row r="826" spans="2:9" x14ac:dyDescent="0.25">
      <c r="B826" s="161">
        <v>41182</v>
      </c>
      <c r="C826" s="12" t="s">
        <v>792</v>
      </c>
      <c r="D826" s="12" t="s">
        <v>457</v>
      </c>
      <c r="E826" s="12" t="s">
        <v>807</v>
      </c>
      <c r="F826" s="12" t="s">
        <v>799</v>
      </c>
      <c r="G826" s="55">
        <v>445</v>
      </c>
      <c r="H826" s="55">
        <v>808</v>
      </c>
      <c r="I826" s="2" t="b">
        <f t="shared" si="13"/>
        <v>0</v>
      </c>
    </row>
    <row r="827" spans="2:9" x14ac:dyDescent="0.25">
      <c r="B827" s="161">
        <v>41422</v>
      </c>
      <c r="C827" s="12" t="s">
        <v>802</v>
      </c>
      <c r="D827" s="12" t="s">
        <v>801</v>
      </c>
      <c r="E827" s="12" t="s">
        <v>806</v>
      </c>
      <c r="F827" s="12" t="s">
        <v>791</v>
      </c>
      <c r="G827" s="55">
        <v>2445</v>
      </c>
      <c r="H827" s="55">
        <v>6610</v>
      </c>
      <c r="I827" s="2" t="b">
        <f t="shared" si="13"/>
        <v>0</v>
      </c>
    </row>
    <row r="828" spans="2:9" x14ac:dyDescent="0.25">
      <c r="B828" s="161">
        <v>41202</v>
      </c>
      <c r="C828" s="12" t="s">
        <v>805</v>
      </c>
      <c r="D828" s="12" t="s">
        <v>652</v>
      </c>
      <c r="E828" s="12" t="s">
        <v>795</v>
      </c>
      <c r="F828" s="12" t="s">
        <v>794</v>
      </c>
      <c r="G828" s="55">
        <v>5501</v>
      </c>
      <c r="H828" s="55">
        <v>8089</v>
      </c>
      <c r="I828" s="2" t="b">
        <f t="shared" si="13"/>
        <v>0</v>
      </c>
    </row>
    <row r="829" spans="2:9" x14ac:dyDescent="0.25">
      <c r="B829" s="161">
        <v>41204</v>
      </c>
      <c r="C829" s="12" t="s">
        <v>790</v>
      </c>
      <c r="D829" s="12" t="s">
        <v>797</v>
      </c>
      <c r="E829" s="12" t="s">
        <v>793</v>
      </c>
      <c r="F829" s="12" t="s">
        <v>794</v>
      </c>
      <c r="G829" s="55">
        <v>114</v>
      </c>
      <c r="H829" s="55">
        <v>123</v>
      </c>
      <c r="I829" s="2" t="b">
        <f t="shared" si="13"/>
        <v>0</v>
      </c>
    </row>
    <row r="830" spans="2:9" x14ac:dyDescent="0.25">
      <c r="B830" s="161">
        <v>41242</v>
      </c>
      <c r="C830" s="12" t="s">
        <v>790</v>
      </c>
      <c r="D830" s="12" t="s">
        <v>797</v>
      </c>
      <c r="E830" s="12" t="s">
        <v>808</v>
      </c>
      <c r="F830" s="12" t="s">
        <v>791</v>
      </c>
      <c r="G830" s="55">
        <v>2964</v>
      </c>
      <c r="H830" s="55">
        <v>5108</v>
      </c>
      <c r="I830" s="2" t="b">
        <f t="shared" si="13"/>
        <v>0</v>
      </c>
    </row>
    <row r="831" spans="2:9" x14ac:dyDescent="0.25">
      <c r="B831" s="161">
        <v>41510</v>
      </c>
      <c r="C831" s="12" t="s">
        <v>790</v>
      </c>
      <c r="D831" s="12" t="s">
        <v>457</v>
      </c>
      <c r="E831" s="12" t="s">
        <v>793</v>
      </c>
      <c r="F831" s="12" t="s">
        <v>791</v>
      </c>
      <c r="G831" s="55">
        <v>925</v>
      </c>
      <c r="H831" s="55">
        <v>1051</v>
      </c>
      <c r="I831" s="2" t="b">
        <f t="shared" si="13"/>
        <v>0</v>
      </c>
    </row>
    <row r="832" spans="2:9" x14ac:dyDescent="0.25">
      <c r="B832" s="161">
        <v>41608</v>
      </c>
      <c r="C832" s="12" t="s">
        <v>805</v>
      </c>
      <c r="D832" s="12" t="s">
        <v>652</v>
      </c>
      <c r="E832" s="12" t="s">
        <v>487</v>
      </c>
      <c r="F832" s="12" t="s">
        <v>791</v>
      </c>
      <c r="G832" s="55">
        <v>6500</v>
      </c>
      <c r="H832" s="55">
        <v>6951</v>
      </c>
      <c r="I832" s="2" t="b">
        <f t="shared" si="13"/>
        <v>0</v>
      </c>
    </row>
    <row r="833" spans="2:9" x14ac:dyDescent="0.25">
      <c r="B833" s="161">
        <v>41002</v>
      </c>
      <c r="C833" s="12" t="s">
        <v>792</v>
      </c>
      <c r="D833" s="12" t="s">
        <v>652</v>
      </c>
      <c r="E833" s="12" t="s">
        <v>803</v>
      </c>
      <c r="F833" s="12" t="s">
        <v>791</v>
      </c>
      <c r="G833" s="55">
        <v>8793</v>
      </c>
      <c r="H833" s="55">
        <v>9992</v>
      </c>
      <c r="I833" s="2" t="b">
        <f t="shared" si="13"/>
        <v>0</v>
      </c>
    </row>
    <row r="834" spans="2:9" x14ac:dyDescent="0.25">
      <c r="B834" s="161">
        <v>41482</v>
      </c>
      <c r="C834" s="12" t="s">
        <v>805</v>
      </c>
      <c r="D834" s="12" t="s">
        <v>797</v>
      </c>
      <c r="E834" s="12" t="s">
        <v>795</v>
      </c>
      <c r="F834" s="12" t="s">
        <v>796</v>
      </c>
      <c r="G834" s="55">
        <v>7079</v>
      </c>
      <c r="H834" s="55">
        <v>7571</v>
      </c>
      <c r="I834" s="2" t="b">
        <f t="shared" si="13"/>
        <v>0</v>
      </c>
    </row>
    <row r="835" spans="2:9" x14ac:dyDescent="0.25">
      <c r="B835" s="161">
        <v>41376</v>
      </c>
      <c r="C835" s="12" t="s">
        <v>790</v>
      </c>
      <c r="D835" s="12" t="s">
        <v>457</v>
      </c>
      <c r="E835" s="12" t="s">
        <v>607</v>
      </c>
      <c r="F835" s="12" t="s">
        <v>796</v>
      </c>
      <c r="G835" s="55">
        <v>3454</v>
      </c>
      <c r="H835" s="55">
        <v>5955</v>
      </c>
      <c r="I835" s="2" t="b">
        <f t="shared" si="13"/>
        <v>0</v>
      </c>
    </row>
    <row r="836" spans="2:9" x14ac:dyDescent="0.25">
      <c r="B836" s="161">
        <v>41452</v>
      </c>
      <c r="C836" s="12" t="s">
        <v>792</v>
      </c>
      <c r="D836" s="12" t="s">
        <v>797</v>
      </c>
      <c r="E836" s="12" t="s">
        <v>809</v>
      </c>
      <c r="F836" s="12" t="s">
        <v>794</v>
      </c>
      <c r="G836" s="55">
        <v>2182</v>
      </c>
      <c r="H836" s="55">
        <v>2908</v>
      </c>
      <c r="I836" s="2" t="b">
        <f t="shared" si="13"/>
        <v>0</v>
      </c>
    </row>
    <row r="837" spans="2:9" x14ac:dyDescent="0.25">
      <c r="B837" s="161">
        <v>41378</v>
      </c>
      <c r="C837" s="12" t="s">
        <v>792</v>
      </c>
      <c r="D837" s="12" t="s">
        <v>457</v>
      </c>
      <c r="E837" s="12" t="s">
        <v>803</v>
      </c>
      <c r="F837" s="12" t="s">
        <v>796</v>
      </c>
      <c r="G837" s="55">
        <v>5082</v>
      </c>
      <c r="H837" s="55">
        <v>7474</v>
      </c>
      <c r="I837" s="2" t="b">
        <f t="shared" si="13"/>
        <v>0</v>
      </c>
    </row>
    <row r="838" spans="2:9" x14ac:dyDescent="0.25">
      <c r="B838" s="161">
        <v>41186</v>
      </c>
      <c r="C838" s="12" t="s">
        <v>802</v>
      </c>
      <c r="D838" s="12" t="s">
        <v>797</v>
      </c>
      <c r="E838" s="12" t="s">
        <v>806</v>
      </c>
      <c r="F838" s="12" t="s">
        <v>796</v>
      </c>
      <c r="G838" s="55">
        <v>3641</v>
      </c>
      <c r="H838" s="55">
        <v>9839</v>
      </c>
      <c r="I838" s="2" t="b">
        <f t="shared" si="13"/>
        <v>0</v>
      </c>
    </row>
    <row r="839" spans="2:9" x14ac:dyDescent="0.25">
      <c r="B839" s="161">
        <v>41604</v>
      </c>
      <c r="C839" s="12" t="s">
        <v>805</v>
      </c>
      <c r="D839" s="12" t="s">
        <v>457</v>
      </c>
      <c r="E839" s="12" t="s">
        <v>806</v>
      </c>
      <c r="F839" s="12" t="s">
        <v>799</v>
      </c>
      <c r="G839" s="55">
        <v>3240</v>
      </c>
      <c r="H839" s="55">
        <v>3465</v>
      </c>
      <c r="I839" s="2" t="b">
        <f t="shared" ref="I839:I902" si="14">AND($K$9=C839,$L$9=D839,$M$9=F839)</f>
        <v>0</v>
      </c>
    </row>
    <row r="840" spans="2:9" x14ac:dyDescent="0.25">
      <c r="B840" s="161">
        <v>41051</v>
      </c>
      <c r="C840" s="12" t="s">
        <v>790</v>
      </c>
      <c r="D840" s="12" t="s">
        <v>652</v>
      </c>
      <c r="E840" s="12" t="s">
        <v>809</v>
      </c>
      <c r="F840" s="12" t="s">
        <v>794</v>
      </c>
      <c r="G840" s="55">
        <v>6011</v>
      </c>
      <c r="H840" s="55">
        <v>8841</v>
      </c>
      <c r="I840" s="2" t="b">
        <f t="shared" si="14"/>
        <v>0</v>
      </c>
    </row>
    <row r="841" spans="2:9" x14ac:dyDescent="0.25">
      <c r="B841" s="161">
        <v>41489</v>
      </c>
      <c r="C841" s="12" t="s">
        <v>802</v>
      </c>
      <c r="D841" s="12" t="s">
        <v>797</v>
      </c>
      <c r="E841" s="12" t="s">
        <v>806</v>
      </c>
      <c r="F841" s="12" t="s">
        <v>791</v>
      </c>
      <c r="G841" s="55">
        <v>1272</v>
      </c>
      <c r="H841" s="55">
        <v>2826</v>
      </c>
      <c r="I841" s="2" t="b">
        <f t="shared" si="14"/>
        <v>0</v>
      </c>
    </row>
    <row r="842" spans="2:9" x14ac:dyDescent="0.25">
      <c r="B842" s="161">
        <v>41099</v>
      </c>
      <c r="C842" s="12" t="s">
        <v>790</v>
      </c>
      <c r="D842" s="12" t="s">
        <v>457</v>
      </c>
      <c r="E842" s="12" t="s">
        <v>800</v>
      </c>
      <c r="F842" s="12" t="s">
        <v>794</v>
      </c>
      <c r="G842" s="55">
        <v>3273</v>
      </c>
      <c r="H842" s="55">
        <v>3720</v>
      </c>
      <c r="I842" s="2" t="b">
        <f t="shared" si="14"/>
        <v>0</v>
      </c>
    </row>
    <row r="843" spans="2:9" x14ac:dyDescent="0.25">
      <c r="B843" s="161">
        <v>41008</v>
      </c>
      <c r="C843" s="12" t="s">
        <v>805</v>
      </c>
      <c r="D843" s="12" t="s">
        <v>801</v>
      </c>
      <c r="E843" s="12" t="s">
        <v>795</v>
      </c>
      <c r="F843" s="12" t="s">
        <v>794</v>
      </c>
      <c r="G843" s="55">
        <v>1787</v>
      </c>
      <c r="H843" s="55">
        <v>2031</v>
      </c>
      <c r="I843" s="2" t="b">
        <f t="shared" si="14"/>
        <v>0</v>
      </c>
    </row>
    <row r="844" spans="2:9" x14ac:dyDescent="0.25">
      <c r="B844" s="161">
        <v>41582</v>
      </c>
      <c r="C844" s="12" t="s">
        <v>792</v>
      </c>
      <c r="D844" s="12" t="s">
        <v>457</v>
      </c>
      <c r="E844" s="12" t="s">
        <v>798</v>
      </c>
      <c r="F844" s="12" t="s">
        <v>799</v>
      </c>
      <c r="G844" s="55">
        <v>6526</v>
      </c>
      <c r="H844" s="55">
        <v>8700</v>
      </c>
      <c r="I844" s="2" t="b">
        <f t="shared" si="14"/>
        <v>0</v>
      </c>
    </row>
    <row r="845" spans="2:9" x14ac:dyDescent="0.25">
      <c r="B845" s="161">
        <v>41472</v>
      </c>
      <c r="C845" s="12" t="s">
        <v>792</v>
      </c>
      <c r="D845" s="12" t="s">
        <v>797</v>
      </c>
      <c r="E845" s="12" t="s">
        <v>806</v>
      </c>
      <c r="F845" s="12" t="s">
        <v>794</v>
      </c>
      <c r="G845" s="55">
        <v>783</v>
      </c>
      <c r="H845" s="55">
        <v>1423</v>
      </c>
      <c r="I845" s="2" t="b">
        <f t="shared" si="14"/>
        <v>0</v>
      </c>
    </row>
    <row r="846" spans="2:9" x14ac:dyDescent="0.25">
      <c r="B846" s="161">
        <v>40964</v>
      </c>
      <c r="C846" s="12" t="s">
        <v>805</v>
      </c>
      <c r="D846" s="12" t="s">
        <v>457</v>
      </c>
      <c r="E846" s="12" t="s">
        <v>793</v>
      </c>
      <c r="F846" s="12" t="s">
        <v>796</v>
      </c>
      <c r="G846" s="55">
        <v>4072</v>
      </c>
      <c r="H846" s="55">
        <v>6902</v>
      </c>
      <c r="I846" s="2" t="b">
        <f t="shared" si="14"/>
        <v>0</v>
      </c>
    </row>
    <row r="847" spans="2:9" x14ac:dyDescent="0.25">
      <c r="B847" s="161">
        <v>41598</v>
      </c>
      <c r="C847" s="12" t="s">
        <v>792</v>
      </c>
      <c r="D847" s="12" t="s">
        <v>797</v>
      </c>
      <c r="E847" s="12" t="s">
        <v>793</v>
      </c>
      <c r="F847" s="12" t="s">
        <v>799</v>
      </c>
      <c r="G847" s="55">
        <v>6204</v>
      </c>
      <c r="H847" s="55">
        <v>6634</v>
      </c>
      <c r="I847" s="2" t="b">
        <f t="shared" si="14"/>
        <v>0</v>
      </c>
    </row>
    <row r="848" spans="2:9" x14ac:dyDescent="0.25">
      <c r="B848" s="161">
        <v>41537</v>
      </c>
      <c r="C848" s="12" t="s">
        <v>805</v>
      </c>
      <c r="D848" s="12" t="s">
        <v>457</v>
      </c>
      <c r="E848" s="12" t="s">
        <v>803</v>
      </c>
      <c r="F848" s="12" t="s">
        <v>791</v>
      </c>
      <c r="G848" s="55">
        <v>1459</v>
      </c>
      <c r="H848" s="55">
        <v>1561</v>
      </c>
      <c r="I848" s="2" t="b">
        <f t="shared" si="14"/>
        <v>0</v>
      </c>
    </row>
    <row r="849" spans="2:9" x14ac:dyDescent="0.25">
      <c r="B849" s="161">
        <v>41269</v>
      </c>
      <c r="C849" s="12" t="s">
        <v>805</v>
      </c>
      <c r="D849" s="12" t="s">
        <v>801</v>
      </c>
      <c r="E849" s="12" t="s">
        <v>809</v>
      </c>
      <c r="F849" s="12" t="s">
        <v>791</v>
      </c>
      <c r="G849" s="55">
        <v>6262</v>
      </c>
      <c r="H849" s="55">
        <v>8349</v>
      </c>
      <c r="I849" s="2" t="b">
        <f t="shared" si="14"/>
        <v>0</v>
      </c>
    </row>
    <row r="850" spans="2:9" x14ac:dyDescent="0.25">
      <c r="B850" s="161">
        <v>41519</v>
      </c>
      <c r="C850" s="12" t="s">
        <v>802</v>
      </c>
      <c r="D850" s="12" t="s">
        <v>801</v>
      </c>
      <c r="E850" s="12" t="s">
        <v>487</v>
      </c>
      <c r="F850" s="12" t="s">
        <v>796</v>
      </c>
      <c r="G850" s="55">
        <v>2929</v>
      </c>
      <c r="H850" s="55">
        <v>5326</v>
      </c>
      <c r="I850" s="2" t="b">
        <f t="shared" si="14"/>
        <v>0</v>
      </c>
    </row>
    <row r="851" spans="2:9" x14ac:dyDescent="0.25">
      <c r="B851" s="161">
        <v>41612</v>
      </c>
      <c r="C851" s="12" t="s">
        <v>790</v>
      </c>
      <c r="D851" s="12" t="s">
        <v>652</v>
      </c>
      <c r="E851" s="12" t="s">
        <v>607</v>
      </c>
      <c r="F851" s="12" t="s">
        <v>791</v>
      </c>
      <c r="G851" s="55">
        <v>4264</v>
      </c>
      <c r="H851" s="55">
        <v>7751</v>
      </c>
      <c r="I851" s="2" t="b">
        <f t="shared" si="14"/>
        <v>0</v>
      </c>
    </row>
    <row r="852" spans="2:9" x14ac:dyDescent="0.25">
      <c r="B852" s="161">
        <v>41564</v>
      </c>
      <c r="C852" s="12" t="s">
        <v>792</v>
      </c>
      <c r="D852" s="12" t="s">
        <v>801</v>
      </c>
      <c r="E852" s="12" t="s">
        <v>808</v>
      </c>
      <c r="F852" s="12" t="s">
        <v>791</v>
      </c>
      <c r="G852" s="55">
        <v>4317</v>
      </c>
      <c r="H852" s="55">
        <v>4617</v>
      </c>
      <c r="I852" s="2" t="b">
        <f t="shared" si="14"/>
        <v>0</v>
      </c>
    </row>
    <row r="853" spans="2:9" x14ac:dyDescent="0.25">
      <c r="B853" s="161">
        <v>41428</v>
      </c>
      <c r="C853" s="12" t="s">
        <v>792</v>
      </c>
      <c r="D853" s="12" t="s">
        <v>652</v>
      </c>
      <c r="E853" s="12" t="s">
        <v>487</v>
      </c>
      <c r="F853" s="12" t="s">
        <v>791</v>
      </c>
      <c r="G853" s="55">
        <v>1292</v>
      </c>
      <c r="H853" s="55">
        <v>1723</v>
      </c>
      <c r="I853" s="2" t="b">
        <f t="shared" si="14"/>
        <v>0</v>
      </c>
    </row>
    <row r="854" spans="2:9" x14ac:dyDescent="0.25">
      <c r="B854" s="161">
        <v>41636</v>
      </c>
      <c r="C854" s="12" t="s">
        <v>790</v>
      </c>
      <c r="D854" s="12" t="s">
        <v>801</v>
      </c>
      <c r="E854" s="12" t="s">
        <v>798</v>
      </c>
      <c r="F854" s="12" t="s">
        <v>799</v>
      </c>
      <c r="G854" s="55">
        <v>6405</v>
      </c>
      <c r="H854" s="55">
        <v>8539</v>
      </c>
      <c r="I854" s="2" t="b">
        <f t="shared" si="14"/>
        <v>0</v>
      </c>
    </row>
    <row r="855" spans="2:9" x14ac:dyDescent="0.25">
      <c r="B855" s="161">
        <v>40978</v>
      </c>
      <c r="C855" s="12" t="s">
        <v>802</v>
      </c>
      <c r="D855" s="12" t="s">
        <v>457</v>
      </c>
      <c r="E855" s="12" t="s">
        <v>806</v>
      </c>
      <c r="F855" s="12" t="s">
        <v>799</v>
      </c>
      <c r="G855" s="55">
        <v>6588</v>
      </c>
      <c r="H855" s="55">
        <v>8783</v>
      </c>
      <c r="I855" s="2" t="b">
        <f t="shared" si="14"/>
        <v>0</v>
      </c>
    </row>
    <row r="856" spans="2:9" x14ac:dyDescent="0.25">
      <c r="B856" s="161">
        <v>40988</v>
      </c>
      <c r="C856" s="12" t="s">
        <v>790</v>
      </c>
      <c r="D856" s="12" t="s">
        <v>652</v>
      </c>
      <c r="E856" s="12" t="s">
        <v>798</v>
      </c>
      <c r="F856" s="12" t="s">
        <v>791</v>
      </c>
      <c r="G856" s="55">
        <v>3177</v>
      </c>
      <c r="H856" s="55">
        <v>4670</v>
      </c>
      <c r="I856" s="2" t="b">
        <f t="shared" si="14"/>
        <v>0</v>
      </c>
    </row>
    <row r="857" spans="2:9" x14ac:dyDescent="0.25">
      <c r="B857" s="161">
        <v>41348</v>
      </c>
      <c r="C857" s="12" t="s">
        <v>802</v>
      </c>
      <c r="D857" s="12" t="s">
        <v>801</v>
      </c>
      <c r="E857" s="12" t="s">
        <v>487</v>
      </c>
      <c r="F857" s="12" t="s">
        <v>796</v>
      </c>
      <c r="G857" s="55">
        <v>1117</v>
      </c>
      <c r="H857" s="55">
        <v>1269</v>
      </c>
      <c r="I857" s="2" t="b">
        <f t="shared" si="14"/>
        <v>0</v>
      </c>
    </row>
    <row r="858" spans="2:9" x14ac:dyDescent="0.25">
      <c r="B858" s="161">
        <v>41602</v>
      </c>
      <c r="C858" s="12" t="s">
        <v>790</v>
      </c>
      <c r="D858" s="12" t="s">
        <v>457</v>
      </c>
      <c r="E858" s="12" t="s">
        <v>806</v>
      </c>
      <c r="F858" s="12" t="s">
        <v>791</v>
      </c>
      <c r="G858" s="55">
        <v>3277</v>
      </c>
      <c r="H858" s="55">
        <v>3505</v>
      </c>
      <c r="I858" s="2" t="b">
        <f t="shared" si="14"/>
        <v>0</v>
      </c>
    </row>
    <row r="859" spans="2:9" x14ac:dyDescent="0.25">
      <c r="B859" s="161">
        <v>41611</v>
      </c>
      <c r="C859" s="12" t="s">
        <v>792</v>
      </c>
      <c r="D859" s="12" t="s">
        <v>652</v>
      </c>
      <c r="E859" s="12" t="s">
        <v>809</v>
      </c>
      <c r="F859" s="12" t="s">
        <v>799</v>
      </c>
      <c r="G859" s="55">
        <v>1012</v>
      </c>
      <c r="H859" s="55">
        <v>1488</v>
      </c>
      <c r="I859" s="2" t="b">
        <f t="shared" si="14"/>
        <v>0</v>
      </c>
    </row>
    <row r="860" spans="2:9" x14ac:dyDescent="0.25">
      <c r="B860" s="161">
        <v>41276</v>
      </c>
      <c r="C860" s="12" t="s">
        <v>805</v>
      </c>
      <c r="D860" s="12" t="s">
        <v>457</v>
      </c>
      <c r="E860" s="12" t="s">
        <v>487</v>
      </c>
      <c r="F860" s="12" t="s">
        <v>796</v>
      </c>
      <c r="G860" s="55">
        <v>5239</v>
      </c>
      <c r="H860" s="55">
        <v>9032</v>
      </c>
      <c r="I860" s="2" t="b">
        <f t="shared" si="14"/>
        <v>0</v>
      </c>
    </row>
    <row r="861" spans="2:9" x14ac:dyDescent="0.25">
      <c r="B861" s="161">
        <v>41058</v>
      </c>
      <c r="C861" s="12" t="s">
        <v>802</v>
      </c>
      <c r="D861" s="12" t="s">
        <v>797</v>
      </c>
      <c r="E861" s="12" t="s">
        <v>806</v>
      </c>
      <c r="F861" s="12" t="s">
        <v>794</v>
      </c>
      <c r="G861" s="55">
        <v>2054</v>
      </c>
      <c r="H861" s="55">
        <v>3019</v>
      </c>
      <c r="I861" s="2" t="b">
        <f t="shared" si="14"/>
        <v>0</v>
      </c>
    </row>
    <row r="862" spans="2:9" x14ac:dyDescent="0.25">
      <c r="B862" s="161">
        <v>41604</v>
      </c>
      <c r="C862" s="12" t="s">
        <v>802</v>
      </c>
      <c r="D862" s="12" t="s">
        <v>652</v>
      </c>
      <c r="E862" s="12" t="s">
        <v>806</v>
      </c>
      <c r="F862" s="12" t="s">
        <v>791</v>
      </c>
      <c r="G862" s="55">
        <v>3951</v>
      </c>
      <c r="H862" s="55">
        <v>4489</v>
      </c>
      <c r="I862" s="2" t="b">
        <f t="shared" si="14"/>
        <v>0</v>
      </c>
    </row>
    <row r="863" spans="2:9" x14ac:dyDescent="0.25">
      <c r="B863" s="161">
        <v>41515</v>
      </c>
      <c r="C863" s="12" t="s">
        <v>805</v>
      </c>
      <c r="D863" s="12" t="s">
        <v>801</v>
      </c>
      <c r="E863" s="12" t="s">
        <v>795</v>
      </c>
      <c r="F863" s="12" t="s">
        <v>791</v>
      </c>
      <c r="G863" s="55">
        <v>3739</v>
      </c>
      <c r="H863" s="55">
        <v>8697</v>
      </c>
      <c r="I863" s="2" t="b">
        <f t="shared" si="14"/>
        <v>0</v>
      </c>
    </row>
    <row r="864" spans="2:9" x14ac:dyDescent="0.25">
      <c r="B864" s="161">
        <v>41362</v>
      </c>
      <c r="C864" s="12" t="s">
        <v>792</v>
      </c>
      <c r="D864" s="12" t="s">
        <v>797</v>
      </c>
      <c r="E864" s="12" t="s">
        <v>800</v>
      </c>
      <c r="F864" s="12" t="s">
        <v>791</v>
      </c>
      <c r="G864" s="55">
        <v>527</v>
      </c>
      <c r="H864" s="55">
        <v>907</v>
      </c>
      <c r="I864" s="2" t="b">
        <f t="shared" si="14"/>
        <v>0</v>
      </c>
    </row>
    <row r="865" spans="2:9" x14ac:dyDescent="0.25">
      <c r="B865" s="161">
        <v>41387</v>
      </c>
      <c r="C865" s="12" t="s">
        <v>802</v>
      </c>
      <c r="D865" s="12" t="s">
        <v>797</v>
      </c>
      <c r="E865" s="12" t="s">
        <v>803</v>
      </c>
      <c r="F865" s="12" t="s">
        <v>791</v>
      </c>
      <c r="G865" s="55">
        <v>1675</v>
      </c>
      <c r="H865" s="55">
        <v>4523</v>
      </c>
      <c r="I865" s="2" t="b">
        <f t="shared" si="14"/>
        <v>0</v>
      </c>
    </row>
    <row r="866" spans="2:9" x14ac:dyDescent="0.25">
      <c r="B866" s="161">
        <v>41627</v>
      </c>
      <c r="C866" s="12" t="s">
        <v>802</v>
      </c>
      <c r="D866" s="12" t="s">
        <v>801</v>
      </c>
      <c r="E866" s="12" t="s">
        <v>807</v>
      </c>
      <c r="F866" s="12" t="s">
        <v>794</v>
      </c>
      <c r="G866" s="55">
        <v>1081</v>
      </c>
      <c r="H866" s="55">
        <v>1967</v>
      </c>
      <c r="I866" s="2" t="b">
        <f t="shared" si="14"/>
        <v>0</v>
      </c>
    </row>
    <row r="867" spans="2:9" x14ac:dyDescent="0.25">
      <c r="B867" s="161">
        <v>41231</v>
      </c>
      <c r="C867" s="12" t="s">
        <v>805</v>
      </c>
      <c r="D867" s="12" t="s">
        <v>801</v>
      </c>
      <c r="E867" s="12" t="s">
        <v>807</v>
      </c>
      <c r="F867" s="12" t="s">
        <v>794</v>
      </c>
      <c r="G867" s="55">
        <v>1059</v>
      </c>
      <c r="H867" s="55">
        <v>1558</v>
      </c>
      <c r="I867" s="2" t="b">
        <f t="shared" si="14"/>
        <v>0</v>
      </c>
    </row>
    <row r="868" spans="2:9" x14ac:dyDescent="0.25">
      <c r="B868" s="161">
        <v>41342</v>
      </c>
      <c r="C868" s="12" t="s">
        <v>790</v>
      </c>
      <c r="D868" s="12" t="s">
        <v>652</v>
      </c>
      <c r="E868" s="12" t="s">
        <v>803</v>
      </c>
      <c r="F868" s="12" t="s">
        <v>791</v>
      </c>
      <c r="G868" s="55">
        <v>7636</v>
      </c>
      <c r="H868" s="55">
        <v>8166</v>
      </c>
      <c r="I868" s="2" t="b">
        <f t="shared" si="14"/>
        <v>0</v>
      </c>
    </row>
    <row r="869" spans="2:9" x14ac:dyDescent="0.25">
      <c r="B869" s="161">
        <v>40969</v>
      </c>
      <c r="C869" s="12" t="s">
        <v>790</v>
      </c>
      <c r="D869" s="12" t="s">
        <v>797</v>
      </c>
      <c r="E869" s="12" t="s">
        <v>806</v>
      </c>
      <c r="F869" s="12" t="s">
        <v>799</v>
      </c>
      <c r="G869" s="55">
        <v>1680</v>
      </c>
      <c r="H869" s="55">
        <v>4541</v>
      </c>
      <c r="I869" s="2" t="b">
        <f t="shared" si="14"/>
        <v>0</v>
      </c>
    </row>
    <row r="870" spans="2:9" x14ac:dyDescent="0.25">
      <c r="B870" s="161">
        <v>41406</v>
      </c>
      <c r="C870" s="12" t="s">
        <v>802</v>
      </c>
      <c r="D870" s="12" t="s">
        <v>457</v>
      </c>
      <c r="E870" s="12" t="s">
        <v>793</v>
      </c>
      <c r="F870" s="12" t="s">
        <v>794</v>
      </c>
      <c r="G870" s="55">
        <v>4938</v>
      </c>
      <c r="H870" s="55">
        <v>7262</v>
      </c>
      <c r="I870" s="2" t="b">
        <f t="shared" si="14"/>
        <v>0</v>
      </c>
    </row>
    <row r="871" spans="2:9" x14ac:dyDescent="0.25">
      <c r="B871" s="161">
        <v>41347</v>
      </c>
      <c r="C871" s="12" t="s">
        <v>805</v>
      </c>
      <c r="D871" s="12" t="s">
        <v>652</v>
      </c>
      <c r="E871" s="12" t="s">
        <v>806</v>
      </c>
      <c r="F871" s="12" t="s">
        <v>794</v>
      </c>
      <c r="G871" s="55">
        <v>2282</v>
      </c>
      <c r="H871" s="55">
        <v>3357</v>
      </c>
      <c r="I871" s="2" t="b">
        <f t="shared" si="14"/>
        <v>0</v>
      </c>
    </row>
    <row r="872" spans="2:9" x14ac:dyDescent="0.25">
      <c r="B872" s="161">
        <v>41059</v>
      </c>
      <c r="C872" s="12" t="s">
        <v>790</v>
      </c>
      <c r="D872" s="12" t="s">
        <v>801</v>
      </c>
      <c r="E872" s="12" t="s">
        <v>798</v>
      </c>
      <c r="F872" s="12" t="s">
        <v>796</v>
      </c>
      <c r="G872" s="55">
        <v>4190</v>
      </c>
      <c r="H872" s="55">
        <v>4763</v>
      </c>
      <c r="I872" s="2" t="b">
        <f t="shared" si="14"/>
        <v>0</v>
      </c>
    </row>
    <row r="873" spans="2:9" x14ac:dyDescent="0.25">
      <c r="B873" s="161">
        <v>40940</v>
      </c>
      <c r="C873" s="12" t="s">
        <v>805</v>
      </c>
      <c r="D873" s="12" t="s">
        <v>801</v>
      </c>
      <c r="E873" s="12" t="s">
        <v>809</v>
      </c>
      <c r="F873" s="12" t="s">
        <v>794</v>
      </c>
      <c r="G873" s="55">
        <v>4423</v>
      </c>
      <c r="H873" s="55">
        <v>6505</v>
      </c>
      <c r="I873" s="2" t="b">
        <f t="shared" si="14"/>
        <v>0</v>
      </c>
    </row>
    <row r="874" spans="2:9" x14ac:dyDescent="0.25">
      <c r="B874" s="161">
        <v>41162</v>
      </c>
      <c r="C874" s="12" t="s">
        <v>790</v>
      </c>
      <c r="D874" s="12" t="s">
        <v>801</v>
      </c>
      <c r="E874" s="12" t="s">
        <v>804</v>
      </c>
      <c r="F874" s="12" t="s">
        <v>794</v>
      </c>
      <c r="G874" s="55">
        <v>6482</v>
      </c>
      <c r="H874" s="55">
        <v>8643</v>
      </c>
      <c r="I874" s="2" t="b">
        <f t="shared" si="14"/>
        <v>0</v>
      </c>
    </row>
    <row r="875" spans="2:9" x14ac:dyDescent="0.25">
      <c r="B875" s="161">
        <v>41440</v>
      </c>
      <c r="C875" s="12" t="s">
        <v>805</v>
      </c>
      <c r="D875" s="12" t="s">
        <v>801</v>
      </c>
      <c r="E875" s="12" t="s">
        <v>607</v>
      </c>
      <c r="F875" s="12" t="s">
        <v>796</v>
      </c>
      <c r="G875" s="55">
        <v>3303</v>
      </c>
      <c r="H875" s="55">
        <v>4402</v>
      </c>
      <c r="I875" s="2" t="b">
        <f t="shared" si="14"/>
        <v>0</v>
      </c>
    </row>
    <row r="876" spans="2:9" x14ac:dyDescent="0.25">
      <c r="B876" s="161">
        <v>40943</v>
      </c>
      <c r="C876" s="12" t="s">
        <v>805</v>
      </c>
      <c r="D876" s="12" t="s">
        <v>652</v>
      </c>
      <c r="E876" s="12" t="s">
        <v>793</v>
      </c>
      <c r="F876" s="12" t="s">
        <v>794</v>
      </c>
      <c r="G876" s="55">
        <v>2045</v>
      </c>
      <c r="H876" s="55">
        <v>3007</v>
      </c>
      <c r="I876" s="2" t="b">
        <f t="shared" si="14"/>
        <v>0</v>
      </c>
    </row>
    <row r="877" spans="2:9" x14ac:dyDescent="0.25">
      <c r="B877" s="161">
        <v>41035</v>
      </c>
      <c r="C877" s="12" t="s">
        <v>790</v>
      </c>
      <c r="D877" s="12" t="s">
        <v>801</v>
      </c>
      <c r="E877" s="12" t="s">
        <v>809</v>
      </c>
      <c r="F877" s="12" t="s">
        <v>794</v>
      </c>
      <c r="G877" s="55">
        <v>3559</v>
      </c>
      <c r="H877" s="55">
        <v>8277</v>
      </c>
      <c r="I877" s="2" t="b">
        <f t="shared" si="14"/>
        <v>0</v>
      </c>
    </row>
    <row r="878" spans="2:9" x14ac:dyDescent="0.25">
      <c r="B878" s="161">
        <v>41084</v>
      </c>
      <c r="C878" s="12" t="s">
        <v>792</v>
      </c>
      <c r="D878" s="12" t="s">
        <v>797</v>
      </c>
      <c r="E878" s="12" t="s">
        <v>808</v>
      </c>
      <c r="F878" s="12" t="s">
        <v>791</v>
      </c>
      <c r="G878" s="55">
        <v>4969</v>
      </c>
      <c r="H878" s="55">
        <v>9035</v>
      </c>
      <c r="I878" s="2" t="b">
        <f t="shared" si="14"/>
        <v>0</v>
      </c>
    </row>
    <row r="879" spans="2:9" x14ac:dyDescent="0.25">
      <c r="B879" s="161">
        <v>41578</v>
      </c>
      <c r="C879" s="12" t="s">
        <v>805</v>
      </c>
      <c r="D879" s="12" t="s">
        <v>652</v>
      </c>
      <c r="E879" s="12" t="s">
        <v>793</v>
      </c>
      <c r="F879" s="12" t="s">
        <v>794</v>
      </c>
      <c r="G879" s="55">
        <v>7843</v>
      </c>
      <c r="H879" s="55">
        <v>8911</v>
      </c>
      <c r="I879" s="2" t="b">
        <f t="shared" si="14"/>
        <v>0</v>
      </c>
    </row>
    <row r="880" spans="2:9" x14ac:dyDescent="0.25">
      <c r="B880" s="161">
        <v>41172</v>
      </c>
      <c r="C880" s="12" t="s">
        <v>792</v>
      </c>
      <c r="D880" s="12" t="s">
        <v>801</v>
      </c>
      <c r="E880" s="12" t="s">
        <v>806</v>
      </c>
      <c r="F880" s="12" t="s">
        <v>794</v>
      </c>
      <c r="G880" s="55">
        <v>6055</v>
      </c>
      <c r="H880" s="55">
        <v>6882</v>
      </c>
      <c r="I880" s="2" t="b">
        <f t="shared" si="14"/>
        <v>0</v>
      </c>
    </row>
    <row r="881" spans="2:9" x14ac:dyDescent="0.25">
      <c r="B881" s="161">
        <v>41289</v>
      </c>
      <c r="C881" s="12" t="s">
        <v>802</v>
      </c>
      <c r="D881" s="12" t="s">
        <v>652</v>
      </c>
      <c r="E881" s="12" t="s">
        <v>807</v>
      </c>
      <c r="F881" s="12" t="s">
        <v>799</v>
      </c>
      <c r="G881" s="55">
        <v>5058</v>
      </c>
      <c r="H881" s="55">
        <v>7437</v>
      </c>
      <c r="I881" s="2" t="b">
        <f t="shared" si="14"/>
        <v>0</v>
      </c>
    </row>
    <row r="882" spans="2:9" x14ac:dyDescent="0.25">
      <c r="B882" s="161">
        <v>41070</v>
      </c>
      <c r="C882" s="12" t="s">
        <v>802</v>
      </c>
      <c r="D882" s="12" t="s">
        <v>457</v>
      </c>
      <c r="E882" s="12" t="s">
        <v>807</v>
      </c>
      <c r="F882" s="12" t="s">
        <v>791</v>
      </c>
      <c r="G882" s="55">
        <v>2682</v>
      </c>
      <c r="H882" s="55">
        <v>5959</v>
      </c>
      <c r="I882" s="2" t="b">
        <f t="shared" si="14"/>
        <v>0</v>
      </c>
    </row>
    <row r="883" spans="2:9" x14ac:dyDescent="0.25">
      <c r="B883" s="161">
        <v>40929</v>
      </c>
      <c r="C883" s="12" t="s">
        <v>802</v>
      </c>
      <c r="D883" s="12" t="s">
        <v>801</v>
      </c>
      <c r="E883" s="12" t="s">
        <v>800</v>
      </c>
      <c r="F883" s="12" t="s">
        <v>799</v>
      </c>
      <c r="G883" s="55">
        <v>600</v>
      </c>
      <c r="H883" s="55">
        <v>883</v>
      </c>
      <c r="I883" s="2" t="b">
        <f t="shared" si="14"/>
        <v>0</v>
      </c>
    </row>
    <row r="884" spans="2:9" x14ac:dyDescent="0.25">
      <c r="B884" s="161">
        <v>41232</v>
      </c>
      <c r="C884" s="12" t="s">
        <v>792</v>
      </c>
      <c r="D884" s="12" t="s">
        <v>457</v>
      </c>
      <c r="E884" s="12" t="s">
        <v>795</v>
      </c>
      <c r="F884" s="12" t="s">
        <v>794</v>
      </c>
      <c r="G884" s="55">
        <v>4198</v>
      </c>
      <c r="H884" s="55">
        <v>7115</v>
      </c>
      <c r="I884" s="2" t="b">
        <f t="shared" si="14"/>
        <v>1</v>
      </c>
    </row>
    <row r="885" spans="2:9" x14ac:dyDescent="0.25">
      <c r="B885" s="161">
        <v>41248</v>
      </c>
      <c r="C885" s="12" t="s">
        <v>790</v>
      </c>
      <c r="D885" s="12" t="s">
        <v>457</v>
      </c>
      <c r="E885" s="12" t="s">
        <v>607</v>
      </c>
      <c r="F885" s="12" t="s">
        <v>794</v>
      </c>
      <c r="G885" s="55">
        <v>2500</v>
      </c>
      <c r="H885" s="55">
        <v>3333</v>
      </c>
      <c r="I885" s="2" t="b">
        <f t="shared" si="14"/>
        <v>0</v>
      </c>
    </row>
    <row r="886" spans="2:9" x14ac:dyDescent="0.25">
      <c r="B886" s="161">
        <v>40966</v>
      </c>
      <c r="C886" s="12" t="s">
        <v>792</v>
      </c>
      <c r="D886" s="12" t="s">
        <v>457</v>
      </c>
      <c r="E886" s="12" t="s">
        <v>795</v>
      </c>
      <c r="F886" s="12" t="s">
        <v>791</v>
      </c>
      <c r="G886" s="55">
        <v>5257</v>
      </c>
      <c r="H886" s="55">
        <v>5974</v>
      </c>
      <c r="I886" s="2" t="b">
        <f t="shared" si="14"/>
        <v>0</v>
      </c>
    </row>
    <row r="887" spans="2:9" x14ac:dyDescent="0.25">
      <c r="B887" s="161">
        <v>41607</v>
      </c>
      <c r="C887" s="12" t="s">
        <v>805</v>
      </c>
      <c r="D887" s="12" t="s">
        <v>457</v>
      </c>
      <c r="E887" s="12" t="s">
        <v>806</v>
      </c>
      <c r="F887" s="12" t="s">
        <v>791</v>
      </c>
      <c r="G887" s="55">
        <v>2683</v>
      </c>
      <c r="H887" s="55">
        <v>6237</v>
      </c>
      <c r="I887" s="2" t="b">
        <f t="shared" si="14"/>
        <v>0</v>
      </c>
    </row>
    <row r="888" spans="2:9" x14ac:dyDescent="0.25">
      <c r="B888" s="161">
        <v>41413</v>
      </c>
      <c r="C888" s="12" t="s">
        <v>790</v>
      </c>
      <c r="D888" s="12" t="s">
        <v>797</v>
      </c>
      <c r="E888" s="12" t="s">
        <v>607</v>
      </c>
      <c r="F888" s="12" t="s">
        <v>794</v>
      </c>
      <c r="G888" s="55">
        <v>349</v>
      </c>
      <c r="H888" s="55">
        <v>775</v>
      </c>
      <c r="I888" s="2" t="b">
        <f t="shared" si="14"/>
        <v>0</v>
      </c>
    </row>
    <row r="889" spans="2:9" x14ac:dyDescent="0.25">
      <c r="B889" s="161">
        <v>41349</v>
      </c>
      <c r="C889" s="12" t="s">
        <v>790</v>
      </c>
      <c r="D889" s="12" t="s">
        <v>801</v>
      </c>
      <c r="E889" s="12" t="s">
        <v>809</v>
      </c>
      <c r="F889" s="12" t="s">
        <v>791</v>
      </c>
      <c r="G889" s="55">
        <v>4446</v>
      </c>
      <c r="H889" s="55">
        <v>4755</v>
      </c>
      <c r="I889" s="2" t="b">
        <f t="shared" si="14"/>
        <v>0</v>
      </c>
    </row>
    <row r="890" spans="2:9" x14ac:dyDescent="0.25">
      <c r="B890" s="161">
        <v>41335</v>
      </c>
      <c r="C890" s="12" t="s">
        <v>790</v>
      </c>
      <c r="D890" s="12" t="s">
        <v>797</v>
      </c>
      <c r="E890" s="12" t="s">
        <v>803</v>
      </c>
      <c r="F890" s="12" t="s">
        <v>796</v>
      </c>
      <c r="G890" s="55">
        <v>1852</v>
      </c>
      <c r="H890" s="55">
        <v>4114</v>
      </c>
      <c r="I890" s="2" t="b">
        <f t="shared" si="14"/>
        <v>0</v>
      </c>
    </row>
    <row r="891" spans="2:9" x14ac:dyDescent="0.25">
      <c r="B891" s="161">
        <v>41100</v>
      </c>
      <c r="C891" s="12" t="s">
        <v>790</v>
      </c>
      <c r="D891" s="12" t="s">
        <v>801</v>
      </c>
      <c r="E891" s="12" t="s">
        <v>800</v>
      </c>
      <c r="F891" s="12" t="s">
        <v>791</v>
      </c>
      <c r="G891" s="55">
        <v>4457</v>
      </c>
      <c r="H891" s="55">
        <v>9904</v>
      </c>
      <c r="I891" s="2" t="b">
        <f t="shared" si="14"/>
        <v>0</v>
      </c>
    </row>
    <row r="892" spans="2:9" x14ac:dyDescent="0.25">
      <c r="B892" s="161">
        <v>41166</v>
      </c>
      <c r="C892" s="12" t="s">
        <v>792</v>
      </c>
      <c r="D892" s="12" t="s">
        <v>797</v>
      </c>
      <c r="E892" s="12" t="s">
        <v>793</v>
      </c>
      <c r="F892" s="12" t="s">
        <v>794</v>
      </c>
      <c r="G892" s="55">
        <v>4950</v>
      </c>
      <c r="H892" s="55">
        <v>6600</v>
      </c>
      <c r="I892" s="2" t="b">
        <f t="shared" si="14"/>
        <v>0</v>
      </c>
    </row>
    <row r="893" spans="2:9" x14ac:dyDescent="0.25">
      <c r="B893" s="161">
        <v>41499</v>
      </c>
      <c r="C893" s="12" t="s">
        <v>802</v>
      </c>
      <c r="D893" s="12" t="s">
        <v>797</v>
      </c>
      <c r="E893" s="12" t="s">
        <v>607</v>
      </c>
      <c r="F893" s="12" t="s">
        <v>799</v>
      </c>
      <c r="G893" s="55">
        <v>426</v>
      </c>
      <c r="H893" s="55">
        <v>733</v>
      </c>
      <c r="I893" s="2" t="b">
        <f t="shared" si="14"/>
        <v>0</v>
      </c>
    </row>
    <row r="894" spans="2:9" x14ac:dyDescent="0.25">
      <c r="B894" s="161">
        <v>41115</v>
      </c>
      <c r="C894" s="12" t="s">
        <v>792</v>
      </c>
      <c r="D894" s="12" t="s">
        <v>457</v>
      </c>
      <c r="E894" s="12" t="s">
        <v>607</v>
      </c>
      <c r="F894" s="12" t="s">
        <v>794</v>
      </c>
      <c r="G894" s="55">
        <v>1396</v>
      </c>
      <c r="H894" s="55">
        <v>3245</v>
      </c>
      <c r="I894" s="2" t="b">
        <f t="shared" si="14"/>
        <v>1</v>
      </c>
    </row>
    <row r="895" spans="2:9" x14ac:dyDescent="0.25">
      <c r="B895" s="161">
        <v>41368</v>
      </c>
      <c r="C895" s="12" t="s">
        <v>792</v>
      </c>
      <c r="D895" s="12" t="s">
        <v>801</v>
      </c>
      <c r="E895" s="12" t="s">
        <v>806</v>
      </c>
      <c r="F895" s="12" t="s">
        <v>794</v>
      </c>
      <c r="G895" s="55">
        <v>1962</v>
      </c>
      <c r="H895" s="55">
        <v>2615</v>
      </c>
      <c r="I895" s="2" t="b">
        <f t="shared" si="14"/>
        <v>0</v>
      </c>
    </row>
    <row r="896" spans="2:9" x14ac:dyDescent="0.25">
      <c r="B896" s="161">
        <v>41090</v>
      </c>
      <c r="C896" s="12" t="s">
        <v>802</v>
      </c>
      <c r="D896" s="12" t="s">
        <v>652</v>
      </c>
      <c r="E896" s="12" t="s">
        <v>800</v>
      </c>
      <c r="F896" s="12" t="s">
        <v>791</v>
      </c>
      <c r="G896" s="55">
        <v>1223</v>
      </c>
      <c r="H896" s="55">
        <v>2844</v>
      </c>
      <c r="I896" s="2" t="b">
        <f t="shared" si="14"/>
        <v>0</v>
      </c>
    </row>
    <row r="897" spans="2:9" x14ac:dyDescent="0.25">
      <c r="B897" s="161">
        <v>41473</v>
      </c>
      <c r="C897" s="12" t="s">
        <v>792</v>
      </c>
      <c r="D897" s="12" t="s">
        <v>801</v>
      </c>
      <c r="E897" s="12" t="s">
        <v>806</v>
      </c>
      <c r="F897" s="12" t="s">
        <v>796</v>
      </c>
      <c r="G897" s="55">
        <v>3414</v>
      </c>
      <c r="H897" s="55">
        <v>4553</v>
      </c>
      <c r="I897" s="2" t="b">
        <f t="shared" si="14"/>
        <v>0</v>
      </c>
    </row>
    <row r="898" spans="2:9" x14ac:dyDescent="0.25">
      <c r="B898" s="161">
        <v>41523</v>
      </c>
      <c r="C898" s="12" t="s">
        <v>790</v>
      </c>
      <c r="D898" s="12" t="s">
        <v>797</v>
      </c>
      <c r="E898" s="12" t="s">
        <v>795</v>
      </c>
      <c r="F898" s="12" t="s">
        <v>796</v>
      </c>
      <c r="G898" s="55">
        <v>3595</v>
      </c>
      <c r="H898" s="55">
        <v>8362</v>
      </c>
      <c r="I898" s="2" t="b">
        <f t="shared" si="14"/>
        <v>0</v>
      </c>
    </row>
    <row r="899" spans="2:9" x14ac:dyDescent="0.25">
      <c r="B899" s="161">
        <v>41128</v>
      </c>
      <c r="C899" s="12" t="s">
        <v>792</v>
      </c>
      <c r="D899" s="12" t="s">
        <v>797</v>
      </c>
      <c r="E899" s="12" t="s">
        <v>800</v>
      </c>
      <c r="F899" s="12" t="s">
        <v>794</v>
      </c>
      <c r="G899" s="55">
        <v>8483</v>
      </c>
      <c r="H899" s="55">
        <v>9073</v>
      </c>
      <c r="I899" s="2" t="b">
        <f t="shared" si="14"/>
        <v>0</v>
      </c>
    </row>
    <row r="900" spans="2:9" x14ac:dyDescent="0.25">
      <c r="B900" s="161">
        <v>41525</v>
      </c>
      <c r="C900" s="12" t="s">
        <v>792</v>
      </c>
      <c r="D900" s="12" t="s">
        <v>797</v>
      </c>
      <c r="E900" s="12" t="s">
        <v>806</v>
      </c>
      <c r="F900" s="12" t="s">
        <v>791</v>
      </c>
      <c r="G900" s="55">
        <v>3287</v>
      </c>
      <c r="H900" s="55">
        <v>3515</v>
      </c>
      <c r="I900" s="2" t="b">
        <f t="shared" si="14"/>
        <v>0</v>
      </c>
    </row>
    <row r="901" spans="2:9" x14ac:dyDescent="0.25">
      <c r="B901" s="161">
        <v>41075</v>
      </c>
      <c r="C901" s="12" t="s">
        <v>805</v>
      </c>
      <c r="D901" s="12" t="s">
        <v>652</v>
      </c>
      <c r="E901" s="12" t="s">
        <v>607</v>
      </c>
      <c r="F901" s="12" t="s">
        <v>796</v>
      </c>
      <c r="G901" s="55">
        <v>6971</v>
      </c>
      <c r="H901" s="55">
        <v>9296</v>
      </c>
      <c r="I901" s="2" t="b">
        <f t="shared" si="14"/>
        <v>0</v>
      </c>
    </row>
    <row r="902" spans="2:9" x14ac:dyDescent="0.25">
      <c r="B902" s="161">
        <v>41447</v>
      </c>
      <c r="C902" s="12" t="s">
        <v>792</v>
      </c>
      <c r="D902" s="12" t="s">
        <v>797</v>
      </c>
      <c r="E902" s="12" t="s">
        <v>798</v>
      </c>
      <c r="F902" s="12" t="s">
        <v>799</v>
      </c>
      <c r="G902" s="55">
        <v>1660</v>
      </c>
      <c r="H902" s="55">
        <v>3858</v>
      </c>
      <c r="I902" s="2" t="b">
        <f t="shared" si="14"/>
        <v>0</v>
      </c>
    </row>
    <row r="903" spans="2:9" x14ac:dyDescent="0.25">
      <c r="B903" s="161">
        <v>41074</v>
      </c>
      <c r="C903" s="12" t="s">
        <v>805</v>
      </c>
      <c r="D903" s="12" t="s">
        <v>801</v>
      </c>
      <c r="E903" s="12" t="s">
        <v>808</v>
      </c>
      <c r="F903" s="12" t="s">
        <v>796</v>
      </c>
      <c r="G903" s="55">
        <v>1378</v>
      </c>
      <c r="H903" s="55">
        <v>3205</v>
      </c>
      <c r="I903" s="2" t="b">
        <f t="shared" ref="I903:I966" si="15">AND($K$9=C903,$L$9=D903,$M$9=F903)</f>
        <v>0</v>
      </c>
    </row>
    <row r="904" spans="2:9" x14ac:dyDescent="0.25">
      <c r="B904" s="161">
        <v>41211</v>
      </c>
      <c r="C904" s="12" t="s">
        <v>790</v>
      </c>
      <c r="D904" s="12" t="s">
        <v>652</v>
      </c>
      <c r="E904" s="12" t="s">
        <v>803</v>
      </c>
      <c r="F904" s="12" t="s">
        <v>791</v>
      </c>
      <c r="G904" s="55">
        <v>2366</v>
      </c>
      <c r="H904" s="55">
        <v>2689</v>
      </c>
      <c r="I904" s="2" t="b">
        <f t="shared" si="15"/>
        <v>0</v>
      </c>
    </row>
    <row r="905" spans="2:9" x14ac:dyDescent="0.25">
      <c r="B905" s="161">
        <v>40988</v>
      </c>
      <c r="C905" s="12" t="s">
        <v>802</v>
      </c>
      <c r="D905" s="12" t="s">
        <v>797</v>
      </c>
      <c r="E905" s="12" t="s">
        <v>795</v>
      </c>
      <c r="F905" s="12" t="s">
        <v>791</v>
      </c>
      <c r="G905" s="55">
        <v>3706</v>
      </c>
      <c r="H905" s="55">
        <v>6389</v>
      </c>
      <c r="I905" s="2" t="b">
        <f t="shared" si="15"/>
        <v>0</v>
      </c>
    </row>
    <row r="906" spans="2:9" x14ac:dyDescent="0.25">
      <c r="B906" s="161">
        <v>41346</v>
      </c>
      <c r="C906" s="12" t="s">
        <v>792</v>
      </c>
      <c r="D906" s="12" t="s">
        <v>457</v>
      </c>
      <c r="E906" s="12" t="s">
        <v>795</v>
      </c>
      <c r="F906" s="12" t="s">
        <v>799</v>
      </c>
      <c r="G906" s="55">
        <v>1126</v>
      </c>
      <c r="H906" s="55">
        <v>2620</v>
      </c>
      <c r="I906" s="2" t="b">
        <f t="shared" si="15"/>
        <v>0</v>
      </c>
    </row>
    <row r="907" spans="2:9" x14ac:dyDescent="0.25">
      <c r="B907" s="161">
        <v>40991</v>
      </c>
      <c r="C907" s="12" t="s">
        <v>802</v>
      </c>
      <c r="D907" s="12" t="s">
        <v>801</v>
      </c>
      <c r="E907" s="12" t="s">
        <v>808</v>
      </c>
      <c r="F907" s="12" t="s">
        <v>794</v>
      </c>
      <c r="G907" s="55">
        <v>1497</v>
      </c>
      <c r="H907" s="55">
        <v>2721</v>
      </c>
      <c r="I907" s="2" t="b">
        <f t="shared" si="15"/>
        <v>0</v>
      </c>
    </row>
    <row r="908" spans="2:9" x14ac:dyDescent="0.25">
      <c r="B908" s="161">
        <v>41413</v>
      </c>
      <c r="C908" s="12" t="s">
        <v>792</v>
      </c>
      <c r="D908" s="12" t="s">
        <v>801</v>
      </c>
      <c r="E908" s="12" t="s">
        <v>807</v>
      </c>
      <c r="F908" s="12" t="s">
        <v>794</v>
      </c>
      <c r="G908" s="55">
        <v>5268</v>
      </c>
      <c r="H908" s="55">
        <v>5635</v>
      </c>
      <c r="I908" s="2" t="b">
        <f t="shared" si="15"/>
        <v>0</v>
      </c>
    </row>
    <row r="909" spans="2:9" x14ac:dyDescent="0.25">
      <c r="B909" s="161">
        <v>41104</v>
      </c>
      <c r="C909" s="12" t="s">
        <v>805</v>
      </c>
      <c r="D909" s="12" t="s">
        <v>801</v>
      </c>
      <c r="E909" s="12" t="s">
        <v>803</v>
      </c>
      <c r="F909" s="12" t="s">
        <v>796</v>
      </c>
      <c r="G909" s="55">
        <v>4415</v>
      </c>
      <c r="H909" s="55">
        <v>9808</v>
      </c>
      <c r="I909" s="2" t="b">
        <f t="shared" si="15"/>
        <v>0</v>
      </c>
    </row>
    <row r="910" spans="2:9" x14ac:dyDescent="0.25">
      <c r="B910" s="161">
        <v>41551</v>
      </c>
      <c r="C910" s="12" t="s">
        <v>792</v>
      </c>
      <c r="D910" s="12" t="s">
        <v>797</v>
      </c>
      <c r="E910" s="12" t="s">
        <v>795</v>
      </c>
      <c r="F910" s="12" t="s">
        <v>791</v>
      </c>
      <c r="G910" s="55">
        <v>621</v>
      </c>
      <c r="H910" s="55">
        <v>1443</v>
      </c>
      <c r="I910" s="2" t="b">
        <f t="shared" si="15"/>
        <v>0</v>
      </c>
    </row>
    <row r="911" spans="2:9" x14ac:dyDescent="0.25">
      <c r="B911" s="161">
        <v>41003</v>
      </c>
      <c r="C911" s="12" t="s">
        <v>790</v>
      </c>
      <c r="D911" s="12" t="s">
        <v>797</v>
      </c>
      <c r="E911" s="12" t="s">
        <v>607</v>
      </c>
      <c r="F911" s="12" t="s">
        <v>794</v>
      </c>
      <c r="G911" s="55">
        <v>5554</v>
      </c>
      <c r="H911" s="55">
        <v>6313</v>
      </c>
      <c r="I911" s="2" t="b">
        <f t="shared" si="15"/>
        <v>0</v>
      </c>
    </row>
    <row r="912" spans="2:9" x14ac:dyDescent="0.25">
      <c r="B912" s="161">
        <v>40959</v>
      </c>
      <c r="C912" s="12" t="s">
        <v>792</v>
      </c>
      <c r="D912" s="12" t="s">
        <v>801</v>
      </c>
      <c r="E912" s="12" t="s">
        <v>793</v>
      </c>
      <c r="F912" s="12" t="s">
        <v>796</v>
      </c>
      <c r="G912" s="55">
        <v>2424</v>
      </c>
      <c r="H912" s="55">
        <v>5386</v>
      </c>
      <c r="I912" s="2" t="b">
        <f t="shared" si="15"/>
        <v>0</v>
      </c>
    </row>
    <row r="913" spans="2:9" x14ac:dyDescent="0.25">
      <c r="B913" s="161">
        <v>41014</v>
      </c>
      <c r="C913" s="12" t="s">
        <v>790</v>
      </c>
      <c r="D913" s="12" t="s">
        <v>457</v>
      </c>
      <c r="E913" s="12" t="s">
        <v>807</v>
      </c>
      <c r="F913" s="12" t="s">
        <v>791</v>
      </c>
      <c r="G913" s="55">
        <v>1936</v>
      </c>
      <c r="H913" s="55">
        <v>3281</v>
      </c>
      <c r="I913" s="2" t="b">
        <f t="shared" si="15"/>
        <v>0</v>
      </c>
    </row>
    <row r="914" spans="2:9" x14ac:dyDescent="0.25">
      <c r="B914" s="161">
        <v>40915</v>
      </c>
      <c r="C914" s="12" t="s">
        <v>802</v>
      </c>
      <c r="D914" s="12" t="s">
        <v>652</v>
      </c>
      <c r="E914" s="12" t="s">
        <v>809</v>
      </c>
      <c r="F914" s="12" t="s">
        <v>799</v>
      </c>
      <c r="G914" s="55">
        <v>1407</v>
      </c>
      <c r="H914" s="55">
        <v>3125</v>
      </c>
      <c r="I914" s="2" t="b">
        <f t="shared" si="15"/>
        <v>0</v>
      </c>
    </row>
    <row r="915" spans="2:9" x14ac:dyDescent="0.25">
      <c r="B915" s="161">
        <v>41469</v>
      </c>
      <c r="C915" s="12" t="s">
        <v>792</v>
      </c>
      <c r="D915" s="12" t="s">
        <v>801</v>
      </c>
      <c r="E915" s="12" t="s">
        <v>487</v>
      </c>
      <c r="F915" s="12" t="s">
        <v>799</v>
      </c>
      <c r="G915" s="55">
        <v>7702</v>
      </c>
      <c r="H915" s="55">
        <v>8239</v>
      </c>
      <c r="I915" s="2" t="b">
        <f t="shared" si="15"/>
        <v>0</v>
      </c>
    </row>
    <row r="916" spans="2:9" x14ac:dyDescent="0.25">
      <c r="B916" s="161">
        <v>41471</v>
      </c>
      <c r="C916" s="12" t="s">
        <v>792</v>
      </c>
      <c r="D916" s="12" t="s">
        <v>457</v>
      </c>
      <c r="E916" s="12" t="s">
        <v>804</v>
      </c>
      <c r="F916" s="12" t="s">
        <v>799</v>
      </c>
      <c r="G916" s="55">
        <v>859</v>
      </c>
      <c r="H916" s="55">
        <v>1481</v>
      </c>
      <c r="I916" s="2" t="b">
        <f t="shared" si="15"/>
        <v>0</v>
      </c>
    </row>
    <row r="917" spans="2:9" x14ac:dyDescent="0.25">
      <c r="B917" s="161">
        <v>41103</v>
      </c>
      <c r="C917" s="12" t="s">
        <v>790</v>
      </c>
      <c r="D917" s="12" t="s">
        <v>652</v>
      </c>
      <c r="E917" s="12" t="s">
        <v>487</v>
      </c>
      <c r="F917" s="12" t="s">
        <v>799</v>
      </c>
      <c r="G917" s="55">
        <v>690</v>
      </c>
      <c r="H917" s="55">
        <v>1191</v>
      </c>
      <c r="I917" s="2" t="b">
        <f t="shared" si="15"/>
        <v>0</v>
      </c>
    </row>
    <row r="918" spans="2:9" x14ac:dyDescent="0.25">
      <c r="B918" s="161">
        <v>40947</v>
      </c>
      <c r="C918" s="12" t="s">
        <v>802</v>
      </c>
      <c r="D918" s="12" t="s">
        <v>652</v>
      </c>
      <c r="E918" s="12" t="s">
        <v>807</v>
      </c>
      <c r="F918" s="12" t="s">
        <v>799</v>
      </c>
      <c r="G918" s="55">
        <v>2766</v>
      </c>
      <c r="H918" s="55">
        <v>7473</v>
      </c>
      <c r="I918" s="2" t="b">
        <f t="shared" si="15"/>
        <v>0</v>
      </c>
    </row>
    <row r="919" spans="2:9" x14ac:dyDescent="0.25">
      <c r="B919" s="161">
        <v>41211</v>
      </c>
      <c r="C919" s="12" t="s">
        <v>792</v>
      </c>
      <c r="D919" s="12" t="s">
        <v>801</v>
      </c>
      <c r="E919" s="12" t="s">
        <v>807</v>
      </c>
      <c r="F919" s="12" t="s">
        <v>794</v>
      </c>
      <c r="G919" s="55">
        <v>3181</v>
      </c>
      <c r="H919" s="55">
        <v>5484</v>
      </c>
      <c r="I919" s="2" t="b">
        <f t="shared" si="15"/>
        <v>0</v>
      </c>
    </row>
    <row r="920" spans="2:9" x14ac:dyDescent="0.25">
      <c r="B920" s="161">
        <v>41382</v>
      </c>
      <c r="C920" s="12" t="s">
        <v>790</v>
      </c>
      <c r="D920" s="12" t="s">
        <v>457</v>
      </c>
      <c r="E920" s="12" t="s">
        <v>803</v>
      </c>
      <c r="F920" s="12" t="s">
        <v>794</v>
      </c>
      <c r="G920" s="55">
        <v>2322</v>
      </c>
      <c r="H920" s="55">
        <v>4222</v>
      </c>
      <c r="I920" s="2" t="b">
        <f t="shared" si="15"/>
        <v>0</v>
      </c>
    </row>
    <row r="921" spans="2:9" x14ac:dyDescent="0.25">
      <c r="B921" s="161">
        <v>41290</v>
      </c>
      <c r="C921" s="12" t="s">
        <v>792</v>
      </c>
      <c r="D921" s="12" t="s">
        <v>652</v>
      </c>
      <c r="E921" s="12" t="s">
        <v>795</v>
      </c>
      <c r="F921" s="12" t="s">
        <v>791</v>
      </c>
      <c r="G921" s="55">
        <v>517</v>
      </c>
      <c r="H921" s="55">
        <v>875</v>
      </c>
      <c r="I921" s="2" t="b">
        <f t="shared" si="15"/>
        <v>0</v>
      </c>
    </row>
    <row r="922" spans="2:9" x14ac:dyDescent="0.25">
      <c r="B922" s="161">
        <v>41523</v>
      </c>
      <c r="C922" s="12" t="s">
        <v>802</v>
      </c>
      <c r="D922" s="12" t="s">
        <v>797</v>
      </c>
      <c r="E922" s="12" t="s">
        <v>807</v>
      </c>
      <c r="F922" s="12" t="s">
        <v>794</v>
      </c>
      <c r="G922" s="55">
        <v>828</v>
      </c>
      <c r="H922" s="55">
        <v>885</v>
      </c>
      <c r="I922" s="2" t="b">
        <f t="shared" si="15"/>
        <v>0</v>
      </c>
    </row>
    <row r="923" spans="2:9" x14ac:dyDescent="0.25">
      <c r="B923" s="161">
        <v>40922</v>
      </c>
      <c r="C923" s="12" t="s">
        <v>792</v>
      </c>
      <c r="D923" s="12" t="s">
        <v>652</v>
      </c>
      <c r="E923" s="12" t="s">
        <v>803</v>
      </c>
      <c r="F923" s="12" t="s">
        <v>796</v>
      </c>
      <c r="G923" s="55">
        <v>2877</v>
      </c>
      <c r="H923" s="55">
        <v>6689</v>
      </c>
      <c r="I923" s="2" t="b">
        <f t="shared" si="15"/>
        <v>0</v>
      </c>
    </row>
    <row r="924" spans="2:9" x14ac:dyDescent="0.25">
      <c r="B924" s="161">
        <v>41409</v>
      </c>
      <c r="C924" s="12" t="s">
        <v>790</v>
      </c>
      <c r="D924" s="12" t="s">
        <v>652</v>
      </c>
      <c r="E924" s="12" t="s">
        <v>795</v>
      </c>
      <c r="F924" s="12" t="s">
        <v>794</v>
      </c>
      <c r="G924" s="55">
        <v>2722</v>
      </c>
      <c r="H924" s="55">
        <v>2911</v>
      </c>
      <c r="I924" s="2" t="b">
        <f t="shared" si="15"/>
        <v>0</v>
      </c>
    </row>
    <row r="925" spans="2:9" x14ac:dyDescent="0.25">
      <c r="B925" s="161">
        <v>41017</v>
      </c>
      <c r="C925" s="12" t="s">
        <v>802</v>
      </c>
      <c r="D925" s="12" t="s">
        <v>797</v>
      </c>
      <c r="E925" s="12" t="s">
        <v>798</v>
      </c>
      <c r="F925" s="12" t="s">
        <v>791</v>
      </c>
      <c r="G925" s="55">
        <v>3240</v>
      </c>
      <c r="H925" s="55">
        <v>3465</v>
      </c>
      <c r="I925" s="2" t="b">
        <f t="shared" si="15"/>
        <v>0</v>
      </c>
    </row>
    <row r="926" spans="2:9" x14ac:dyDescent="0.25">
      <c r="B926" s="161">
        <v>41634</v>
      </c>
      <c r="C926" s="12" t="s">
        <v>792</v>
      </c>
      <c r="D926" s="12" t="s">
        <v>457</v>
      </c>
      <c r="E926" s="12" t="s">
        <v>808</v>
      </c>
      <c r="F926" s="12" t="s">
        <v>799</v>
      </c>
      <c r="G926" s="55">
        <v>1065</v>
      </c>
      <c r="H926" s="55">
        <v>2474</v>
      </c>
      <c r="I926" s="2" t="b">
        <f t="shared" si="15"/>
        <v>0</v>
      </c>
    </row>
    <row r="927" spans="2:9" x14ac:dyDescent="0.25">
      <c r="B927" s="161">
        <v>41595</v>
      </c>
      <c r="C927" s="12" t="s">
        <v>792</v>
      </c>
      <c r="D927" s="12" t="s">
        <v>652</v>
      </c>
      <c r="E927" s="12" t="s">
        <v>803</v>
      </c>
      <c r="F927" s="12" t="s">
        <v>791</v>
      </c>
      <c r="G927" s="55">
        <v>3405</v>
      </c>
      <c r="H927" s="55">
        <v>3869</v>
      </c>
      <c r="I927" s="2" t="b">
        <f t="shared" si="15"/>
        <v>0</v>
      </c>
    </row>
    <row r="928" spans="2:9" x14ac:dyDescent="0.25">
      <c r="B928" s="161">
        <v>41502</v>
      </c>
      <c r="C928" s="12" t="s">
        <v>792</v>
      </c>
      <c r="D928" s="12" t="s">
        <v>457</v>
      </c>
      <c r="E928" s="12" t="s">
        <v>809</v>
      </c>
      <c r="F928" s="12" t="s">
        <v>799</v>
      </c>
      <c r="G928" s="55">
        <v>4671</v>
      </c>
      <c r="H928" s="55">
        <v>6869</v>
      </c>
      <c r="I928" s="2" t="b">
        <f t="shared" si="15"/>
        <v>0</v>
      </c>
    </row>
    <row r="929" spans="2:9" x14ac:dyDescent="0.25">
      <c r="B929" s="161">
        <v>41325</v>
      </c>
      <c r="C929" s="12" t="s">
        <v>802</v>
      </c>
      <c r="D929" s="12" t="s">
        <v>457</v>
      </c>
      <c r="E929" s="12" t="s">
        <v>803</v>
      </c>
      <c r="F929" s="12" t="s">
        <v>791</v>
      </c>
      <c r="G929" s="55">
        <v>1202</v>
      </c>
      <c r="H929" s="55">
        <v>1602</v>
      </c>
      <c r="I929" s="2" t="b">
        <f t="shared" si="15"/>
        <v>0</v>
      </c>
    </row>
    <row r="930" spans="2:9" x14ac:dyDescent="0.25">
      <c r="B930" s="161">
        <v>41015</v>
      </c>
      <c r="C930" s="12" t="s">
        <v>802</v>
      </c>
      <c r="D930" s="12" t="s">
        <v>801</v>
      </c>
      <c r="E930" s="12" t="s">
        <v>793</v>
      </c>
      <c r="F930" s="12" t="s">
        <v>794</v>
      </c>
      <c r="G930" s="55">
        <v>2523</v>
      </c>
      <c r="H930" s="55">
        <v>5865</v>
      </c>
      <c r="I930" s="2" t="b">
        <f t="shared" si="15"/>
        <v>0</v>
      </c>
    </row>
    <row r="931" spans="2:9" x14ac:dyDescent="0.25">
      <c r="B931" s="161">
        <v>41612</v>
      </c>
      <c r="C931" s="12" t="s">
        <v>805</v>
      </c>
      <c r="D931" s="12" t="s">
        <v>652</v>
      </c>
      <c r="E931" s="12" t="s">
        <v>808</v>
      </c>
      <c r="F931" s="12" t="s">
        <v>794</v>
      </c>
      <c r="G931" s="55">
        <v>2350</v>
      </c>
      <c r="H931" s="55">
        <v>3981</v>
      </c>
      <c r="I931" s="2" t="b">
        <f t="shared" si="15"/>
        <v>0</v>
      </c>
    </row>
    <row r="932" spans="2:9" x14ac:dyDescent="0.25">
      <c r="B932" s="161">
        <v>41305</v>
      </c>
      <c r="C932" s="12" t="s">
        <v>792</v>
      </c>
      <c r="D932" s="12" t="s">
        <v>457</v>
      </c>
      <c r="E932" s="12" t="s">
        <v>487</v>
      </c>
      <c r="F932" s="12" t="s">
        <v>791</v>
      </c>
      <c r="G932" s="55">
        <v>569</v>
      </c>
      <c r="H932" s="55">
        <v>836</v>
      </c>
      <c r="I932" s="2" t="b">
        <f t="shared" si="15"/>
        <v>0</v>
      </c>
    </row>
    <row r="933" spans="2:9" x14ac:dyDescent="0.25">
      <c r="B933" s="161">
        <v>41318</v>
      </c>
      <c r="C933" s="12" t="s">
        <v>792</v>
      </c>
      <c r="D933" s="12" t="s">
        <v>797</v>
      </c>
      <c r="E933" s="12" t="s">
        <v>793</v>
      </c>
      <c r="F933" s="12" t="s">
        <v>799</v>
      </c>
      <c r="G933" s="55">
        <v>4096</v>
      </c>
      <c r="H933" s="55">
        <v>9528</v>
      </c>
      <c r="I933" s="2" t="b">
        <f t="shared" si="15"/>
        <v>0</v>
      </c>
    </row>
    <row r="934" spans="2:9" x14ac:dyDescent="0.25">
      <c r="B934" s="161">
        <v>41408</v>
      </c>
      <c r="C934" s="12" t="s">
        <v>802</v>
      </c>
      <c r="D934" s="12" t="s">
        <v>652</v>
      </c>
      <c r="E934" s="12" t="s">
        <v>804</v>
      </c>
      <c r="F934" s="12" t="s">
        <v>794</v>
      </c>
      <c r="G934" s="55">
        <v>3559</v>
      </c>
      <c r="H934" s="55">
        <v>4746</v>
      </c>
      <c r="I934" s="2" t="b">
        <f t="shared" si="15"/>
        <v>0</v>
      </c>
    </row>
    <row r="935" spans="2:9" x14ac:dyDescent="0.25">
      <c r="B935" s="161">
        <v>41202</v>
      </c>
      <c r="C935" s="12" t="s">
        <v>792</v>
      </c>
      <c r="D935" s="12" t="s">
        <v>457</v>
      </c>
      <c r="E935" s="12" t="s">
        <v>809</v>
      </c>
      <c r="F935" s="12" t="s">
        <v>791</v>
      </c>
      <c r="G935" s="55">
        <v>1646</v>
      </c>
      <c r="H935" s="55">
        <v>4446</v>
      </c>
      <c r="I935" s="2" t="b">
        <f t="shared" si="15"/>
        <v>0</v>
      </c>
    </row>
    <row r="936" spans="2:9" x14ac:dyDescent="0.25">
      <c r="B936" s="161">
        <v>41532</v>
      </c>
      <c r="C936" s="12" t="s">
        <v>802</v>
      </c>
      <c r="D936" s="12" t="s">
        <v>797</v>
      </c>
      <c r="E936" s="12" t="s">
        <v>793</v>
      </c>
      <c r="F936" s="12" t="s">
        <v>794</v>
      </c>
      <c r="G936" s="55">
        <v>2601</v>
      </c>
      <c r="H936" s="55">
        <v>7028</v>
      </c>
      <c r="I936" s="2" t="b">
        <f t="shared" si="15"/>
        <v>0</v>
      </c>
    </row>
    <row r="937" spans="2:9" x14ac:dyDescent="0.25">
      <c r="B937" s="161">
        <v>41117</v>
      </c>
      <c r="C937" s="12" t="s">
        <v>792</v>
      </c>
      <c r="D937" s="12" t="s">
        <v>801</v>
      </c>
      <c r="E937" s="12" t="s">
        <v>793</v>
      </c>
      <c r="F937" s="12" t="s">
        <v>791</v>
      </c>
      <c r="G937" s="55">
        <v>1468</v>
      </c>
      <c r="H937" s="55">
        <v>2490</v>
      </c>
      <c r="I937" s="2" t="b">
        <f t="shared" si="15"/>
        <v>0</v>
      </c>
    </row>
    <row r="938" spans="2:9" x14ac:dyDescent="0.25">
      <c r="B938" s="161">
        <v>41271</v>
      </c>
      <c r="C938" s="12" t="s">
        <v>790</v>
      </c>
      <c r="D938" s="12" t="s">
        <v>801</v>
      </c>
      <c r="E938" s="12" t="s">
        <v>793</v>
      </c>
      <c r="F938" s="12" t="s">
        <v>796</v>
      </c>
      <c r="G938" s="55">
        <v>1776</v>
      </c>
      <c r="H938" s="55">
        <v>3009</v>
      </c>
      <c r="I938" s="2" t="b">
        <f t="shared" si="15"/>
        <v>0</v>
      </c>
    </row>
    <row r="939" spans="2:9" x14ac:dyDescent="0.25">
      <c r="B939" s="161">
        <v>41570</v>
      </c>
      <c r="C939" s="12" t="s">
        <v>805</v>
      </c>
      <c r="D939" s="12" t="s">
        <v>797</v>
      </c>
      <c r="E939" s="12" t="s">
        <v>793</v>
      </c>
      <c r="F939" s="12" t="s">
        <v>791</v>
      </c>
      <c r="G939" s="55">
        <v>564</v>
      </c>
      <c r="H939" s="55">
        <v>1027</v>
      </c>
      <c r="I939" s="2" t="b">
        <f t="shared" si="15"/>
        <v>0</v>
      </c>
    </row>
    <row r="940" spans="2:9" x14ac:dyDescent="0.25">
      <c r="B940" s="161">
        <v>41334</v>
      </c>
      <c r="C940" s="12" t="s">
        <v>790</v>
      </c>
      <c r="D940" s="12" t="s">
        <v>797</v>
      </c>
      <c r="E940" s="12" t="s">
        <v>806</v>
      </c>
      <c r="F940" s="12" t="s">
        <v>796</v>
      </c>
      <c r="G940" s="55">
        <v>1051</v>
      </c>
      <c r="H940" s="55">
        <v>2837</v>
      </c>
      <c r="I940" s="2" t="b">
        <f t="shared" si="15"/>
        <v>0</v>
      </c>
    </row>
    <row r="941" spans="2:9" x14ac:dyDescent="0.25">
      <c r="B941" s="161">
        <v>41109</v>
      </c>
      <c r="C941" s="12" t="s">
        <v>805</v>
      </c>
      <c r="D941" s="12" t="s">
        <v>801</v>
      </c>
      <c r="E941" s="12" t="s">
        <v>809</v>
      </c>
      <c r="F941" s="12" t="s">
        <v>799</v>
      </c>
      <c r="G941" s="55">
        <v>5047</v>
      </c>
      <c r="H941" s="55">
        <v>8700</v>
      </c>
      <c r="I941" s="2" t="b">
        <f t="shared" si="15"/>
        <v>0</v>
      </c>
    </row>
    <row r="942" spans="2:9" x14ac:dyDescent="0.25">
      <c r="B942" s="161">
        <v>41180</v>
      </c>
      <c r="C942" s="12" t="s">
        <v>802</v>
      </c>
      <c r="D942" s="12" t="s">
        <v>801</v>
      </c>
      <c r="E942" s="12" t="s">
        <v>806</v>
      </c>
      <c r="F942" s="12" t="s">
        <v>796</v>
      </c>
      <c r="G942" s="55">
        <v>5666</v>
      </c>
      <c r="H942" s="55">
        <v>9770</v>
      </c>
      <c r="I942" s="2" t="b">
        <f t="shared" si="15"/>
        <v>0</v>
      </c>
    </row>
    <row r="943" spans="2:9" x14ac:dyDescent="0.25">
      <c r="B943" s="161">
        <v>41516</v>
      </c>
      <c r="C943" s="12" t="s">
        <v>802</v>
      </c>
      <c r="D943" s="12" t="s">
        <v>652</v>
      </c>
      <c r="E943" s="12" t="s">
        <v>808</v>
      </c>
      <c r="F943" s="12" t="s">
        <v>799</v>
      </c>
      <c r="G943" s="55">
        <v>142</v>
      </c>
      <c r="H943" s="55">
        <v>258</v>
      </c>
      <c r="I943" s="2" t="b">
        <f t="shared" si="15"/>
        <v>0</v>
      </c>
    </row>
    <row r="944" spans="2:9" x14ac:dyDescent="0.25">
      <c r="B944" s="161">
        <v>41471</v>
      </c>
      <c r="C944" s="12" t="s">
        <v>790</v>
      </c>
      <c r="D944" s="12" t="s">
        <v>457</v>
      </c>
      <c r="E944" s="12" t="s">
        <v>807</v>
      </c>
      <c r="F944" s="12" t="s">
        <v>796</v>
      </c>
      <c r="G944" s="55">
        <v>2288</v>
      </c>
      <c r="H944" s="55">
        <v>3050</v>
      </c>
      <c r="I944" s="2" t="b">
        <f t="shared" si="15"/>
        <v>0</v>
      </c>
    </row>
    <row r="945" spans="2:9" x14ac:dyDescent="0.25">
      <c r="B945" s="161">
        <v>41005</v>
      </c>
      <c r="C945" s="12" t="s">
        <v>790</v>
      </c>
      <c r="D945" s="12" t="s">
        <v>797</v>
      </c>
      <c r="E945" s="12" t="s">
        <v>807</v>
      </c>
      <c r="F945" s="12" t="s">
        <v>799</v>
      </c>
      <c r="G945" s="55">
        <v>7376</v>
      </c>
      <c r="H945" s="55">
        <v>7889</v>
      </c>
      <c r="I945" s="2" t="b">
        <f t="shared" si="15"/>
        <v>0</v>
      </c>
    </row>
    <row r="946" spans="2:9" x14ac:dyDescent="0.25">
      <c r="B946" s="161">
        <v>41252</v>
      </c>
      <c r="C946" s="12" t="s">
        <v>790</v>
      </c>
      <c r="D946" s="12" t="s">
        <v>801</v>
      </c>
      <c r="E946" s="12" t="s">
        <v>809</v>
      </c>
      <c r="F946" s="12" t="s">
        <v>791</v>
      </c>
      <c r="G946" s="55">
        <v>6544</v>
      </c>
      <c r="H946" s="55">
        <v>7436</v>
      </c>
      <c r="I946" s="2" t="b">
        <f t="shared" si="15"/>
        <v>0</v>
      </c>
    </row>
    <row r="947" spans="2:9" x14ac:dyDescent="0.25">
      <c r="B947" s="161">
        <v>40958</v>
      </c>
      <c r="C947" s="12" t="s">
        <v>792</v>
      </c>
      <c r="D947" s="12" t="s">
        <v>797</v>
      </c>
      <c r="E947" s="12" t="s">
        <v>803</v>
      </c>
      <c r="F947" s="12" t="s">
        <v>791</v>
      </c>
      <c r="G947" s="55">
        <v>951</v>
      </c>
      <c r="H947" s="55">
        <v>2111</v>
      </c>
      <c r="I947" s="2" t="b">
        <f t="shared" si="15"/>
        <v>0</v>
      </c>
    </row>
    <row r="948" spans="2:9" x14ac:dyDescent="0.25">
      <c r="B948" s="161">
        <v>41299</v>
      </c>
      <c r="C948" s="12" t="s">
        <v>805</v>
      </c>
      <c r="D948" s="12" t="s">
        <v>652</v>
      </c>
      <c r="E948" s="12" t="s">
        <v>806</v>
      </c>
      <c r="F948" s="12" t="s">
        <v>794</v>
      </c>
      <c r="G948" s="55">
        <v>4000</v>
      </c>
      <c r="H948" s="55">
        <v>8886</v>
      </c>
      <c r="I948" s="2" t="b">
        <f t="shared" si="15"/>
        <v>0</v>
      </c>
    </row>
    <row r="949" spans="2:9" x14ac:dyDescent="0.25">
      <c r="B949" s="161">
        <v>41415</v>
      </c>
      <c r="C949" s="12" t="s">
        <v>790</v>
      </c>
      <c r="D949" s="12" t="s">
        <v>801</v>
      </c>
      <c r="E949" s="12" t="s">
        <v>487</v>
      </c>
      <c r="F949" s="12" t="s">
        <v>791</v>
      </c>
      <c r="G949" s="55">
        <v>3570</v>
      </c>
      <c r="H949" s="55">
        <v>4057</v>
      </c>
      <c r="I949" s="2" t="b">
        <f t="shared" si="15"/>
        <v>0</v>
      </c>
    </row>
    <row r="950" spans="2:9" x14ac:dyDescent="0.25">
      <c r="B950" s="161">
        <v>41584</v>
      </c>
      <c r="C950" s="12" t="s">
        <v>805</v>
      </c>
      <c r="D950" s="12" t="s">
        <v>457</v>
      </c>
      <c r="E950" s="12" t="s">
        <v>607</v>
      </c>
      <c r="F950" s="12" t="s">
        <v>794</v>
      </c>
      <c r="G950" s="55">
        <v>2922</v>
      </c>
      <c r="H950" s="55">
        <v>7899</v>
      </c>
      <c r="I950" s="2" t="b">
        <f t="shared" si="15"/>
        <v>0</v>
      </c>
    </row>
    <row r="951" spans="2:9" x14ac:dyDescent="0.25">
      <c r="B951" s="161">
        <v>41588</v>
      </c>
      <c r="C951" s="12" t="s">
        <v>790</v>
      </c>
      <c r="D951" s="12" t="s">
        <v>652</v>
      </c>
      <c r="E951" s="12" t="s">
        <v>806</v>
      </c>
      <c r="F951" s="12" t="s">
        <v>796</v>
      </c>
      <c r="G951" s="55">
        <v>336</v>
      </c>
      <c r="H951" s="55">
        <v>782</v>
      </c>
      <c r="I951" s="2" t="b">
        <f t="shared" si="15"/>
        <v>0</v>
      </c>
    </row>
    <row r="952" spans="2:9" x14ac:dyDescent="0.25">
      <c r="B952" s="161">
        <v>41345</v>
      </c>
      <c r="C952" s="12" t="s">
        <v>792</v>
      </c>
      <c r="D952" s="12" t="s">
        <v>797</v>
      </c>
      <c r="E952" s="12" t="s">
        <v>803</v>
      </c>
      <c r="F952" s="12" t="s">
        <v>794</v>
      </c>
      <c r="G952" s="55">
        <v>412</v>
      </c>
      <c r="H952" s="55">
        <v>1112</v>
      </c>
      <c r="I952" s="2" t="b">
        <f t="shared" si="15"/>
        <v>0</v>
      </c>
    </row>
    <row r="953" spans="2:9" x14ac:dyDescent="0.25">
      <c r="B953" s="161">
        <v>41129</v>
      </c>
      <c r="C953" s="12" t="s">
        <v>805</v>
      </c>
      <c r="D953" s="12" t="s">
        <v>652</v>
      </c>
      <c r="E953" s="12" t="s">
        <v>795</v>
      </c>
      <c r="F953" s="12" t="s">
        <v>796</v>
      </c>
      <c r="G953" s="55">
        <v>7633</v>
      </c>
      <c r="H953" s="55">
        <v>8163</v>
      </c>
      <c r="I953" s="2" t="b">
        <f t="shared" si="15"/>
        <v>0</v>
      </c>
    </row>
    <row r="954" spans="2:9" x14ac:dyDescent="0.25">
      <c r="B954" s="161">
        <v>41043</v>
      </c>
      <c r="C954" s="12" t="s">
        <v>802</v>
      </c>
      <c r="D954" s="12" t="s">
        <v>457</v>
      </c>
      <c r="E954" s="12" t="s">
        <v>808</v>
      </c>
      <c r="F954" s="12" t="s">
        <v>799</v>
      </c>
      <c r="G954" s="55">
        <v>5410</v>
      </c>
      <c r="H954" s="55">
        <v>9327</v>
      </c>
      <c r="I954" s="2" t="b">
        <f t="shared" si="15"/>
        <v>0</v>
      </c>
    </row>
    <row r="955" spans="2:9" x14ac:dyDescent="0.25">
      <c r="B955" s="161">
        <v>40928</v>
      </c>
      <c r="C955" s="12" t="s">
        <v>805</v>
      </c>
      <c r="D955" s="12" t="s">
        <v>801</v>
      </c>
      <c r="E955" s="12" t="s">
        <v>607</v>
      </c>
      <c r="F955" s="12" t="s">
        <v>794</v>
      </c>
      <c r="G955" s="55">
        <v>5086</v>
      </c>
      <c r="H955" s="55">
        <v>6780</v>
      </c>
      <c r="I955" s="2" t="b">
        <f t="shared" si="15"/>
        <v>0</v>
      </c>
    </row>
    <row r="956" spans="2:9" x14ac:dyDescent="0.25">
      <c r="B956" s="161">
        <v>41177</v>
      </c>
      <c r="C956" s="12" t="s">
        <v>802</v>
      </c>
      <c r="D956" s="12" t="s">
        <v>457</v>
      </c>
      <c r="E956" s="12" t="s">
        <v>795</v>
      </c>
      <c r="F956" s="12" t="s">
        <v>794</v>
      </c>
      <c r="G956" s="55">
        <v>3755</v>
      </c>
      <c r="H956" s="55">
        <v>4267</v>
      </c>
      <c r="I956" s="2" t="b">
        <f t="shared" si="15"/>
        <v>0</v>
      </c>
    </row>
    <row r="957" spans="2:9" x14ac:dyDescent="0.25">
      <c r="B957" s="161">
        <v>41562</v>
      </c>
      <c r="C957" s="12" t="s">
        <v>802</v>
      </c>
      <c r="D957" s="12" t="s">
        <v>797</v>
      </c>
      <c r="E957" s="12" t="s">
        <v>803</v>
      </c>
      <c r="F957" s="12" t="s">
        <v>794</v>
      </c>
      <c r="G957" s="55">
        <v>1228</v>
      </c>
      <c r="H957" s="55">
        <v>1396</v>
      </c>
      <c r="I957" s="2" t="b">
        <f t="shared" si="15"/>
        <v>0</v>
      </c>
    </row>
    <row r="958" spans="2:9" x14ac:dyDescent="0.25">
      <c r="B958" s="161">
        <v>41130</v>
      </c>
      <c r="C958" s="12" t="s">
        <v>802</v>
      </c>
      <c r="D958" s="12" t="s">
        <v>652</v>
      </c>
      <c r="E958" s="12" t="s">
        <v>808</v>
      </c>
      <c r="F958" s="12" t="s">
        <v>796</v>
      </c>
      <c r="G958" s="55">
        <v>4071</v>
      </c>
      <c r="H958" s="55">
        <v>6900</v>
      </c>
      <c r="I958" s="2" t="b">
        <f t="shared" si="15"/>
        <v>0</v>
      </c>
    </row>
    <row r="959" spans="2:9" x14ac:dyDescent="0.25">
      <c r="B959" s="161">
        <v>41377</v>
      </c>
      <c r="C959" s="12" t="s">
        <v>790</v>
      </c>
      <c r="D959" s="12" t="s">
        <v>652</v>
      </c>
      <c r="E959" s="12" t="s">
        <v>800</v>
      </c>
      <c r="F959" s="12" t="s">
        <v>791</v>
      </c>
      <c r="G959" s="55">
        <v>3293</v>
      </c>
      <c r="H959" s="55">
        <v>5678</v>
      </c>
      <c r="I959" s="2" t="b">
        <f t="shared" si="15"/>
        <v>0</v>
      </c>
    </row>
    <row r="960" spans="2:9" x14ac:dyDescent="0.25">
      <c r="B960" s="161">
        <v>41501</v>
      </c>
      <c r="C960" s="12" t="s">
        <v>792</v>
      </c>
      <c r="D960" s="12" t="s">
        <v>797</v>
      </c>
      <c r="E960" s="12" t="s">
        <v>808</v>
      </c>
      <c r="F960" s="12" t="s">
        <v>796</v>
      </c>
      <c r="G960" s="55">
        <v>3647</v>
      </c>
      <c r="H960" s="55">
        <v>4863</v>
      </c>
      <c r="I960" s="2" t="b">
        <f t="shared" si="15"/>
        <v>0</v>
      </c>
    </row>
    <row r="961" spans="2:9" x14ac:dyDescent="0.25">
      <c r="B961" s="161">
        <v>40959</v>
      </c>
      <c r="C961" s="12" t="s">
        <v>790</v>
      </c>
      <c r="D961" s="12" t="s">
        <v>797</v>
      </c>
      <c r="E961" s="12" t="s">
        <v>803</v>
      </c>
      <c r="F961" s="12" t="s">
        <v>799</v>
      </c>
      <c r="G961" s="55">
        <v>3508</v>
      </c>
      <c r="H961" s="55">
        <v>3986</v>
      </c>
      <c r="I961" s="2" t="b">
        <f t="shared" si="15"/>
        <v>0</v>
      </c>
    </row>
    <row r="962" spans="2:9" x14ac:dyDescent="0.25">
      <c r="B962" s="161">
        <v>41118</v>
      </c>
      <c r="C962" s="12" t="s">
        <v>792</v>
      </c>
      <c r="D962" s="12" t="s">
        <v>652</v>
      </c>
      <c r="E962" s="12" t="s">
        <v>793</v>
      </c>
      <c r="F962" s="12" t="s">
        <v>799</v>
      </c>
      <c r="G962" s="55">
        <v>7015</v>
      </c>
      <c r="H962" s="55">
        <v>9354</v>
      </c>
      <c r="I962" s="2" t="b">
        <f t="shared" si="15"/>
        <v>0</v>
      </c>
    </row>
    <row r="963" spans="2:9" x14ac:dyDescent="0.25">
      <c r="B963" s="161">
        <v>41110</v>
      </c>
      <c r="C963" s="12" t="s">
        <v>802</v>
      </c>
      <c r="D963" s="12" t="s">
        <v>652</v>
      </c>
      <c r="E963" s="12" t="s">
        <v>800</v>
      </c>
      <c r="F963" s="12" t="s">
        <v>791</v>
      </c>
      <c r="G963" s="55">
        <v>2051</v>
      </c>
      <c r="H963" s="55">
        <v>4771</v>
      </c>
      <c r="I963" s="2" t="b">
        <f t="shared" si="15"/>
        <v>0</v>
      </c>
    </row>
    <row r="964" spans="2:9" x14ac:dyDescent="0.25">
      <c r="B964" s="161">
        <v>41420</v>
      </c>
      <c r="C964" s="12" t="s">
        <v>792</v>
      </c>
      <c r="D964" s="12" t="s">
        <v>797</v>
      </c>
      <c r="E964" s="12" t="s">
        <v>607</v>
      </c>
      <c r="F964" s="12" t="s">
        <v>796</v>
      </c>
      <c r="G964" s="55">
        <v>3633</v>
      </c>
      <c r="H964" s="55">
        <v>6156</v>
      </c>
      <c r="I964" s="2" t="b">
        <f t="shared" si="15"/>
        <v>0</v>
      </c>
    </row>
    <row r="965" spans="2:9" x14ac:dyDescent="0.25">
      <c r="B965" s="161">
        <v>41474</v>
      </c>
      <c r="C965" s="12" t="s">
        <v>805</v>
      </c>
      <c r="D965" s="12" t="s">
        <v>652</v>
      </c>
      <c r="E965" s="12" t="s">
        <v>487</v>
      </c>
      <c r="F965" s="12" t="s">
        <v>794</v>
      </c>
      <c r="G965" s="55">
        <v>5065</v>
      </c>
      <c r="H965" s="55">
        <v>7448</v>
      </c>
      <c r="I965" s="2" t="b">
        <f t="shared" si="15"/>
        <v>0</v>
      </c>
    </row>
    <row r="966" spans="2:9" x14ac:dyDescent="0.25">
      <c r="B966" s="161">
        <v>41118</v>
      </c>
      <c r="C966" s="12" t="s">
        <v>790</v>
      </c>
      <c r="D966" s="12" t="s">
        <v>797</v>
      </c>
      <c r="E966" s="12" t="s">
        <v>800</v>
      </c>
      <c r="F966" s="12" t="s">
        <v>799</v>
      </c>
      <c r="G966" s="55">
        <v>4400</v>
      </c>
      <c r="H966" s="55">
        <v>5001</v>
      </c>
      <c r="I966" s="2" t="b">
        <f t="shared" si="15"/>
        <v>0</v>
      </c>
    </row>
    <row r="967" spans="2:9" x14ac:dyDescent="0.25">
      <c r="B967" s="161">
        <v>41550</v>
      </c>
      <c r="C967" s="12" t="s">
        <v>805</v>
      </c>
      <c r="D967" s="12" t="s">
        <v>652</v>
      </c>
      <c r="E967" s="12" t="s">
        <v>607</v>
      </c>
      <c r="F967" s="12" t="s">
        <v>794</v>
      </c>
      <c r="G967" s="55">
        <v>3841</v>
      </c>
      <c r="H967" s="55">
        <v>4365</v>
      </c>
      <c r="I967" s="2" t="b">
        <f t="shared" ref="I967:I1030" si="16">AND($K$9=C967,$L$9=D967,$M$9=F967)</f>
        <v>0</v>
      </c>
    </row>
    <row r="968" spans="2:9" x14ac:dyDescent="0.25">
      <c r="B968" s="161">
        <v>41518</v>
      </c>
      <c r="C968" s="12" t="s">
        <v>805</v>
      </c>
      <c r="D968" s="12" t="s">
        <v>797</v>
      </c>
      <c r="E968" s="12" t="s">
        <v>798</v>
      </c>
      <c r="F968" s="12" t="s">
        <v>799</v>
      </c>
      <c r="G968" s="55">
        <v>426</v>
      </c>
      <c r="H968" s="55">
        <v>456</v>
      </c>
      <c r="I968" s="2" t="b">
        <f t="shared" si="16"/>
        <v>0</v>
      </c>
    </row>
    <row r="969" spans="2:9" x14ac:dyDescent="0.25">
      <c r="B969" s="161">
        <v>41314</v>
      </c>
      <c r="C969" s="12" t="s">
        <v>805</v>
      </c>
      <c r="D969" s="12" t="s">
        <v>801</v>
      </c>
      <c r="E969" s="12" t="s">
        <v>795</v>
      </c>
      <c r="F969" s="12" t="s">
        <v>791</v>
      </c>
      <c r="G969" s="55">
        <v>1524</v>
      </c>
      <c r="H969" s="55">
        <v>2584</v>
      </c>
      <c r="I969" s="2" t="b">
        <f t="shared" si="16"/>
        <v>0</v>
      </c>
    </row>
    <row r="970" spans="2:9" x14ac:dyDescent="0.25">
      <c r="B970" s="161">
        <v>41303</v>
      </c>
      <c r="C970" s="12" t="s">
        <v>805</v>
      </c>
      <c r="D970" s="12" t="s">
        <v>801</v>
      </c>
      <c r="E970" s="12" t="s">
        <v>487</v>
      </c>
      <c r="F970" s="12" t="s">
        <v>794</v>
      </c>
      <c r="G970" s="55">
        <v>430</v>
      </c>
      <c r="H970" s="55">
        <v>460</v>
      </c>
      <c r="I970" s="2" t="b">
        <f t="shared" si="16"/>
        <v>0</v>
      </c>
    </row>
    <row r="971" spans="2:9" x14ac:dyDescent="0.25">
      <c r="B971" s="161">
        <v>41098</v>
      </c>
      <c r="C971" s="12" t="s">
        <v>802</v>
      </c>
      <c r="D971" s="12" t="s">
        <v>457</v>
      </c>
      <c r="E971" s="12" t="s">
        <v>806</v>
      </c>
      <c r="F971" s="12" t="s">
        <v>796</v>
      </c>
      <c r="G971" s="55">
        <v>1830</v>
      </c>
      <c r="H971" s="55">
        <v>2079</v>
      </c>
      <c r="I971" s="2" t="b">
        <f t="shared" si="16"/>
        <v>0</v>
      </c>
    </row>
    <row r="972" spans="2:9" x14ac:dyDescent="0.25">
      <c r="B972" s="161">
        <v>40928</v>
      </c>
      <c r="C972" s="12" t="s">
        <v>802</v>
      </c>
      <c r="D972" s="12" t="s">
        <v>457</v>
      </c>
      <c r="E972" s="12" t="s">
        <v>803</v>
      </c>
      <c r="F972" s="12" t="s">
        <v>799</v>
      </c>
      <c r="G972" s="55">
        <v>670</v>
      </c>
      <c r="H972" s="55">
        <v>894</v>
      </c>
      <c r="I972" s="2" t="b">
        <f t="shared" si="16"/>
        <v>0</v>
      </c>
    </row>
    <row r="973" spans="2:9" x14ac:dyDescent="0.25">
      <c r="B973" s="161">
        <v>41555</v>
      </c>
      <c r="C973" s="12" t="s">
        <v>805</v>
      </c>
      <c r="D973" s="12" t="s">
        <v>797</v>
      </c>
      <c r="E973" s="12" t="s">
        <v>487</v>
      </c>
      <c r="F973" s="12" t="s">
        <v>794</v>
      </c>
      <c r="G973" s="55">
        <v>6220</v>
      </c>
      <c r="H973" s="55">
        <v>6653</v>
      </c>
      <c r="I973" s="2" t="b">
        <f t="shared" si="16"/>
        <v>0</v>
      </c>
    </row>
    <row r="974" spans="2:9" x14ac:dyDescent="0.25">
      <c r="B974" s="161">
        <v>41327</v>
      </c>
      <c r="C974" s="12" t="s">
        <v>792</v>
      </c>
      <c r="D974" s="12" t="s">
        <v>457</v>
      </c>
      <c r="E974" s="12" t="s">
        <v>808</v>
      </c>
      <c r="F974" s="12" t="s">
        <v>791</v>
      </c>
      <c r="G974" s="55">
        <v>7872</v>
      </c>
      <c r="H974" s="55">
        <v>8947</v>
      </c>
      <c r="I974" s="2" t="b">
        <f t="shared" si="16"/>
        <v>0</v>
      </c>
    </row>
    <row r="975" spans="2:9" x14ac:dyDescent="0.25">
      <c r="B975" s="161">
        <v>41153</v>
      </c>
      <c r="C975" s="12" t="s">
        <v>790</v>
      </c>
      <c r="D975" s="12" t="s">
        <v>652</v>
      </c>
      <c r="E975" s="12" t="s">
        <v>795</v>
      </c>
      <c r="F975" s="12" t="s">
        <v>794</v>
      </c>
      <c r="G975" s="55">
        <v>5018</v>
      </c>
      <c r="H975" s="55">
        <v>7380</v>
      </c>
      <c r="I975" s="2" t="b">
        <f t="shared" si="16"/>
        <v>0</v>
      </c>
    </row>
    <row r="976" spans="2:9" x14ac:dyDescent="0.25">
      <c r="B976" s="161">
        <v>40943</v>
      </c>
      <c r="C976" s="12" t="s">
        <v>792</v>
      </c>
      <c r="D976" s="12" t="s">
        <v>652</v>
      </c>
      <c r="E976" s="12" t="s">
        <v>798</v>
      </c>
      <c r="F976" s="12" t="s">
        <v>791</v>
      </c>
      <c r="G976" s="55">
        <v>4114</v>
      </c>
      <c r="H976" s="55">
        <v>9568</v>
      </c>
      <c r="I976" s="2" t="b">
        <f t="shared" si="16"/>
        <v>0</v>
      </c>
    </row>
    <row r="977" spans="2:9" x14ac:dyDescent="0.25">
      <c r="B977" s="161">
        <v>41580</v>
      </c>
      <c r="C977" s="12" t="s">
        <v>792</v>
      </c>
      <c r="D977" s="12" t="s">
        <v>457</v>
      </c>
      <c r="E977" s="12" t="s">
        <v>793</v>
      </c>
      <c r="F977" s="12" t="s">
        <v>799</v>
      </c>
      <c r="G977" s="55">
        <v>8073</v>
      </c>
      <c r="H977" s="55">
        <v>8633</v>
      </c>
      <c r="I977" s="2" t="b">
        <f t="shared" si="16"/>
        <v>0</v>
      </c>
    </row>
    <row r="978" spans="2:9" x14ac:dyDescent="0.25">
      <c r="B978" s="161">
        <v>41255</v>
      </c>
      <c r="C978" s="12" t="s">
        <v>792</v>
      </c>
      <c r="D978" s="12" t="s">
        <v>457</v>
      </c>
      <c r="E978" s="12" t="s">
        <v>809</v>
      </c>
      <c r="F978" s="12" t="s">
        <v>796</v>
      </c>
      <c r="G978" s="55">
        <v>1853</v>
      </c>
      <c r="H978" s="55">
        <v>3196</v>
      </c>
      <c r="I978" s="2" t="b">
        <f t="shared" si="16"/>
        <v>0</v>
      </c>
    </row>
    <row r="979" spans="2:9" x14ac:dyDescent="0.25">
      <c r="B979" s="161">
        <v>41039</v>
      </c>
      <c r="C979" s="12" t="s">
        <v>805</v>
      </c>
      <c r="D979" s="12" t="s">
        <v>457</v>
      </c>
      <c r="E979" s="12" t="s">
        <v>487</v>
      </c>
      <c r="F979" s="12" t="s">
        <v>796</v>
      </c>
      <c r="G979" s="55">
        <v>4032</v>
      </c>
      <c r="H979" s="55">
        <v>7330</v>
      </c>
      <c r="I979" s="2" t="b">
        <f t="shared" si="16"/>
        <v>0</v>
      </c>
    </row>
    <row r="980" spans="2:9" x14ac:dyDescent="0.25">
      <c r="B980" s="161">
        <v>41380</v>
      </c>
      <c r="C980" s="12" t="s">
        <v>792</v>
      </c>
      <c r="D980" s="12" t="s">
        <v>652</v>
      </c>
      <c r="E980" s="12" t="s">
        <v>803</v>
      </c>
      <c r="F980" s="12" t="s">
        <v>794</v>
      </c>
      <c r="G980" s="55">
        <v>4474</v>
      </c>
      <c r="H980" s="55">
        <v>5965</v>
      </c>
      <c r="I980" s="2" t="b">
        <f t="shared" si="16"/>
        <v>0</v>
      </c>
    </row>
    <row r="981" spans="2:9" x14ac:dyDescent="0.25">
      <c r="B981" s="161">
        <v>41276</v>
      </c>
      <c r="C981" s="12" t="s">
        <v>790</v>
      </c>
      <c r="D981" s="12" t="s">
        <v>457</v>
      </c>
      <c r="E981" s="12" t="s">
        <v>607</v>
      </c>
      <c r="F981" s="12" t="s">
        <v>794</v>
      </c>
      <c r="G981" s="55">
        <v>2438</v>
      </c>
      <c r="H981" s="55">
        <v>3586</v>
      </c>
      <c r="I981" s="2" t="b">
        <f t="shared" si="16"/>
        <v>0</v>
      </c>
    </row>
    <row r="982" spans="2:9" x14ac:dyDescent="0.25">
      <c r="B982" s="161">
        <v>41189</v>
      </c>
      <c r="C982" s="12" t="s">
        <v>790</v>
      </c>
      <c r="D982" s="12" t="s">
        <v>797</v>
      </c>
      <c r="E982" s="12" t="s">
        <v>800</v>
      </c>
      <c r="F982" s="12" t="s">
        <v>794</v>
      </c>
      <c r="G982" s="55">
        <v>3330</v>
      </c>
      <c r="H982" s="55">
        <v>7741</v>
      </c>
      <c r="I982" s="2" t="b">
        <f t="shared" si="16"/>
        <v>0</v>
      </c>
    </row>
    <row r="983" spans="2:9" x14ac:dyDescent="0.25">
      <c r="B983" s="161">
        <v>41395</v>
      </c>
      <c r="C983" s="12" t="s">
        <v>805</v>
      </c>
      <c r="D983" s="12" t="s">
        <v>652</v>
      </c>
      <c r="E983" s="12" t="s">
        <v>795</v>
      </c>
      <c r="F983" s="12" t="s">
        <v>791</v>
      </c>
      <c r="G983" s="55">
        <v>6605</v>
      </c>
      <c r="H983" s="55">
        <v>8807</v>
      </c>
      <c r="I983" s="2" t="b">
        <f t="shared" si="16"/>
        <v>0</v>
      </c>
    </row>
    <row r="984" spans="2:9" x14ac:dyDescent="0.25">
      <c r="B984" s="161">
        <v>41552</v>
      </c>
      <c r="C984" s="12" t="s">
        <v>802</v>
      </c>
      <c r="D984" s="12" t="s">
        <v>801</v>
      </c>
      <c r="E984" s="12" t="s">
        <v>804</v>
      </c>
      <c r="F984" s="12" t="s">
        <v>791</v>
      </c>
      <c r="G984" s="55">
        <v>853</v>
      </c>
      <c r="H984" s="55">
        <v>1136</v>
      </c>
      <c r="I984" s="2" t="b">
        <f t="shared" si="16"/>
        <v>0</v>
      </c>
    </row>
    <row r="985" spans="2:9" x14ac:dyDescent="0.25">
      <c r="B985" s="161">
        <v>41115</v>
      </c>
      <c r="C985" s="12" t="s">
        <v>792</v>
      </c>
      <c r="D985" s="12" t="s">
        <v>457</v>
      </c>
      <c r="E985" s="12" t="s">
        <v>800</v>
      </c>
      <c r="F985" s="12" t="s">
        <v>791</v>
      </c>
      <c r="G985" s="55">
        <v>4489</v>
      </c>
      <c r="H985" s="55">
        <v>9976</v>
      </c>
      <c r="I985" s="2" t="b">
        <f t="shared" si="16"/>
        <v>0</v>
      </c>
    </row>
    <row r="986" spans="2:9" x14ac:dyDescent="0.25">
      <c r="B986" s="161">
        <v>41394</v>
      </c>
      <c r="C986" s="12" t="s">
        <v>792</v>
      </c>
      <c r="D986" s="12" t="s">
        <v>457</v>
      </c>
      <c r="E986" s="12" t="s">
        <v>800</v>
      </c>
      <c r="F986" s="12" t="s">
        <v>796</v>
      </c>
      <c r="G986" s="55">
        <v>2796</v>
      </c>
      <c r="H986" s="55">
        <v>3178</v>
      </c>
      <c r="I986" s="2" t="b">
        <f t="shared" si="16"/>
        <v>0</v>
      </c>
    </row>
    <row r="987" spans="2:9" x14ac:dyDescent="0.25">
      <c r="B987" s="161">
        <v>41224</v>
      </c>
      <c r="C987" s="12" t="s">
        <v>805</v>
      </c>
      <c r="D987" s="12" t="s">
        <v>801</v>
      </c>
      <c r="E987" s="12" t="s">
        <v>807</v>
      </c>
      <c r="F987" s="12" t="s">
        <v>796</v>
      </c>
      <c r="G987" s="55">
        <v>1820</v>
      </c>
      <c r="H987" s="55">
        <v>4045</v>
      </c>
      <c r="I987" s="2" t="b">
        <f t="shared" si="16"/>
        <v>0</v>
      </c>
    </row>
    <row r="988" spans="2:9" x14ac:dyDescent="0.25">
      <c r="B988" s="161">
        <v>41356</v>
      </c>
      <c r="C988" s="12" t="s">
        <v>805</v>
      </c>
      <c r="D988" s="12" t="s">
        <v>797</v>
      </c>
      <c r="E988" s="12" t="s">
        <v>798</v>
      </c>
      <c r="F988" s="12" t="s">
        <v>791</v>
      </c>
      <c r="G988" s="55">
        <v>1284</v>
      </c>
      <c r="H988" s="55">
        <v>3468</v>
      </c>
      <c r="I988" s="2" t="b">
        <f t="shared" si="16"/>
        <v>0</v>
      </c>
    </row>
    <row r="989" spans="2:9" x14ac:dyDescent="0.25">
      <c r="B989" s="161">
        <v>41541</v>
      </c>
      <c r="C989" s="12" t="s">
        <v>805</v>
      </c>
      <c r="D989" s="12" t="s">
        <v>652</v>
      </c>
      <c r="E989" s="12" t="s">
        <v>607</v>
      </c>
      <c r="F989" s="12" t="s">
        <v>796</v>
      </c>
      <c r="G989" s="55">
        <v>2393</v>
      </c>
      <c r="H989" s="55">
        <v>5320</v>
      </c>
      <c r="I989" s="2" t="b">
        <f t="shared" si="16"/>
        <v>0</v>
      </c>
    </row>
    <row r="990" spans="2:9" x14ac:dyDescent="0.25">
      <c r="B990" s="161">
        <v>41093</v>
      </c>
      <c r="C990" s="12" t="s">
        <v>802</v>
      </c>
      <c r="D990" s="12" t="s">
        <v>457</v>
      </c>
      <c r="E990" s="12" t="s">
        <v>804</v>
      </c>
      <c r="F990" s="12" t="s">
        <v>791</v>
      </c>
      <c r="G990" s="55">
        <v>1161</v>
      </c>
      <c r="H990" s="55">
        <v>2580</v>
      </c>
      <c r="I990" s="2" t="b">
        <f t="shared" si="16"/>
        <v>0</v>
      </c>
    </row>
    <row r="991" spans="2:9" x14ac:dyDescent="0.25">
      <c r="B991" s="161">
        <v>41353</v>
      </c>
      <c r="C991" s="12" t="s">
        <v>792</v>
      </c>
      <c r="D991" s="12" t="s">
        <v>797</v>
      </c>
      <c r="E991" s="12" t="s">
        <v>807</v>
      </c>
      <c r="F991" s="12" t="s">
        <v>799</v>
      </c>
      <c r="G991" s="55">
        <v>699</v>
      </c>
      <c r="H991" s="55">
        <v>1890</v>
      </c>
      <c r="I991" s="2" t="b">
        <f t="shared" si="16"/>
        <v>0</v>
      </c>
    </row>
    <row r="992" spans="2:9" x14ac:dyDescent="0.25">
      <c r="B992" s="161">
        <v>41482</v>
      </c>
      <c r="C992" s="12" t="s">
        <v>805</v>
      </c>
      <c r="D992" s="12" t="s">
        <v>457</v>
      </c>
      <c r="E992" s="12" t="s">
        <v>804</v>
      </c>
      <c r="F992" s="12" t="s">
        <v>799</v>
      </c>
      <c r="G992" s="55">
        <v>247</v>
      </c>
      <c r="H992" s="55">
        <v>664</v>
      </c>
      <c r="I992" s="2" t="b">
        <f t="shared" si="16"/>
        <v>0</v>
      </c>
    </row>
    <row r="993" spans="2:9" x14ac:dyDescent="0.25">
      <c r="B993" s="161">
        <v>41265</v>
      </c>
      <c r="C993" s="12" t="s">
        <v>792</v>
      </c>
      <c r="D993" s="12" t="s">
        <v>652</v>
      </c>
      <c r="E993" s="12" t="s">
        <v>809</v>
      </c>
      <c r="F993" s="12" t="s">
        <v>794</v>
      </c>
      <c r="G993" s="55">
        <v>3787</v>
      </c>
      <c r="H993" s="55">
        <v>4304</v>
      </c>
      <c r="I993" s="2" t="b">
        <f t="shared" si="16"/>
        <v>0</v>
      </c>
    </row>
    <row r="994" spans="2:9" x14ac:dyDescent="0.25">
      <c r="B994" s="161">
        <v>41404</v>
      </c>
      <c r="C994" s="12" t="s">
        <v>792</v>
      </c>
      <c r="D994" s="12" t="s">
        <v>801</v>
      </c>
      <c r="E994" s="12" t="s">
        <v>800</v>
      </c>
      <c r="F994" s="12" t="s">
        <v>794</v>
      </c>
      <c r="G994" s="55">
        <v>638</v>
      </c>
      <c r="H994" s="55">
        <v>1724</v>
      </c>
      <c r="I994" s="2" t="b">
        <f t="shared" si="16"/>
        <v>0</v>
      </c>
    </row>
    <row r="995" spans="2:9" x14ac:dyDescent="0.25">
      <c r="B995" s="161">
        <v>41324</v>
      </c>
      <c r="C995" s="12" t="s">
        <v>805</v>
      </c>
      <c r="D995" s="12" t="s">
        <v>652</v>
      </c>
      <c r="E995" s="12" t="s">
        <v>798</v>
      </c>
      <c r="F995" s="12" t="s">
        <v>794</v>
      </c>
      <c r="G995" s="55">
        <v>3523</v>
      </c>
      <c r="H995" s="55">
        <v>9523</v>
      </c>
      <c r="I995" s="2" t="b">
        <f t="shared" si="16"/>
        <v>0</v>
      </c>
    </row>
    <row r="996" spans="2:9" x14ac:dyDescent="0.25">
      <c r="B996" s="161">
        <v>41068</v>
      </c>
      <c r="C996" s="12" t="s">
        <v>805</v>
      </c>
      <c r="D996" s="12" t="s">
        <v>801</v>
      </c>
      <c r="E996" s="12" t="s">
        <v>795</v>
      </c>
      <c r="F996" s="12" t="s">
        <v>791</v>
      </c>
      <c r="G996" s="55">
        <v>1563</v>
      </c>
      <c r="H996" s="55">
        <v>3636</v>
      </c>
      <c r="I996" s="2" t="b">
        <f t="shared" si="16"/>
        <v>0</v>
      </c>
    </row>
    <row r="997" spans="2:9" x14ac:dyDescent="0.25">
      <c r="B997" s="161">
        <v>41602</v>
      </c>
      <c r="C997" s="12" t="s">
        <v>790</v>
      </c>
      <c r="D997" s="12" t="s">
        <v>457</v>
      </c>
      <c r="E997" s="12" t="s">
        <v>806</v>
      </c>
      <c r="F997" s="12" t="s">
        <v>791</v>
      </c>
      <c r="G997" s="55">
        <v>2309</v>
      </c>
      <c r="H997" s="55">
        <v>3980</v>
      </c>
      <c r="I997" s="2" t="b">
        <f t="shared" si="16"/>
        <v>0</v>
      </c>
    </row>
    <row r="998" spans="2:9" x14ac:dyDescent="0.25">
      <c r="B998" s="161">
        <v>41435</v>
      </c>
      <c r="C998" s="12" t="s">
        <v>790</v>
      </c>
      <c r="D998" s="12" t="s">
        <v>457</v>
      </c>
      <c r="E998" s="12" t="s">
        <v>804</v>
      </c>
      <c r="F998" s="12" t="s">
        <v>796</v>
      </c>
      <c r="G998" s="55">
        <v>210</v>
      </c>
      <c r="H998" s="55">
        <v>361</v>
      </c>
      <c r="I998" s="2" t="b">
        <f t="shared" si="16"/>
        <v>0</v>
      </c>
    </row>
    <row r="999" spans="2:9" x14ac:dyDescent="0.25">
      <c r="B999" s="161">
        <v>40987</v>
      </c>
      <c r="C999" s="12" t="s">
        <v>790</v>
      </c>
      <c r="D999" s="12" t="s">
        <v>652</v>
      </c>
      <c r="E999" s="12" t="s">
        <v>800</v>
      </c>
      <c r="F999" s="12" t="s">
        <v>791</v>
      </c>
      <c r="G999" s="55">
        <v>1911</v>
      </c>
      <c r="H999" s="55">
        <v>2549</v>
      </c>
      <c r="I999" s="2" t="b">
        <f t="shared" si="16"/>
        <v>0</v>
      </c>
    </row>
    <row r="1000" spans="2:9" x14ac:dyDescent="0.25">
      <c r="B1000" s="161">
        <v>41261</v>
      </c>
      <c r="C1000" s="12" t="s">
        <v>792</v>
      </c>
      <c r="D1000" s="12" t="s">
        <v>457</v>
      </c>
      <c r="E1000" s="12" t="s">
        <v>809</v>
      </c>
      <c r="F1000" s="12" t="s">
        <v>791</v>
      </c>
      <c r="G1000" s="55">
        <v>831</v>
      </c>
      <c r="H1000" s="55">
        <v>1407</v>
      </c>
      <c r="I1000" s="2" t="b">
        <f t="shared" si="16"/>
        <v>0</v>
      </c>
    </row>
    <row r="1001" spans="2:9" x14ac:dyDescent="0.25">
      <c r="B1001" s="161">
        <v>41160</v>
      </c>
      <c r="C1001" s="12" t="s">
        <v>792</v>
      </c>
      <c r="D1001" s="12" t="s">
        <v>457</v>
      </c>
      <c r="E1001" s="12" t="s">
        <v>795</v>
      </c>
      <c r="F1001" s="12" t="s">
        <v>796</v>
      </c>
      <c r="G1001" s="55">
        <v>423</v>
      </c>
      <c r="H1001" s="55">
        <v>769</v>
      </c>
      <c r="I1001" s="2" t="b">
        <f t="shared" si="16"/>
        <v>0</v>
      </c>
    </row>
    <row r="1002" spans="2:9" x14ac:dyDescent="0.25">
      <c r="B1002" s="161">
        <v>41628</v>
      </c>
      <c r="C1002" s="12" t="s">
        <v>802</v>
      </c>
      <c r="D1002" s="12" t="s">
        <v>652</v>
      </c>
      <c r="E1002" s="12" t="s">
        <v>487</v>
      </c>
      <c r="F1002" s="12" t="s">
        <v>794</v>
      </c>
      <c r="G1002" s="55">
        <v>2697</v>
      </c>
      <c r="H1002" s="55">
        <v>5993</v>
      </c>
      <c r="I1002" s="2" t="b">
        <f t="shared" si="16"/>
        <v>0</v>
      </c>
    </row>
    <row r="1003" spans="2:9" x14ac:dyDescent="0.25">
      <c r="B1003" s="161">
        <v>41173</v>
      </c>
      <c r="C1003" s="12" t="s">
        <v>792</v>
      </c>
      <c r="D1003" s="12" t="s">
        <v>457</v>
      </c>
      <c r="E1003" s="12" t="s">
        <v>808</v>
      </c>
      <c r="F1003" s="12" t="s">
        <v>791</v>
      </c>
      <c r="G1003" s="55">
        <v>5775</v>
      </c>
      <c r="H1003" s="55">
        <v>9955</v>
      </c>
      <c r="I1003" s="2" t="b">
        <f t="shared" si="16"/>
        <v>0</v>
      </c>
    </row>
    <row r="1004" spans="2:9" x14ac:dyDescent="0.25">
      <c r="B1004" s="161">
        <v>41104</v>
      </c>
      <c r="C1004" s="12" t="s">
        <v>792</v>
      </c>
      <c r="D1004" s="12" t="s">
        <v>797</v>
      </c>
      <c r="E1004" s="12" t="s">
        <v>804</v>
      </c>
      <c r="F1004" s="12" t="s">
        <v>796</v>
      </c>
      <c r="G1004" s="55">
        <v>2179</v>
      </c>
      <c r="H1004" s="55">
        <v>5068</v>
      </c>
      <c r="I1004" s="2" t="b">
        <f t="shared" si="16"/>
        <v>0</v>
      </c>
    </row>
    <row r="1005" spans="2:9" x14ac:dyDescent="0.25">
      <c r="B1005" s="161">
        <v>41351</v>
      </c>
      <c r="C1005" s="12" t="s">
        <v>805</v>
      </c>
      <c r="D1005" s="12" t="s">
        <v>652</v>
      </c>
      <c r="E1005" s="12" t="s">
        <v>808</v>
      </c>
      <c r="F1005" s="12" t="s">
        <v>791</v>
      </c>
      <c r="G1005" s="55">
        <v>3497</v>
      </c>
      <c r="H1005" s="55">
        <v>4662</v>
      </c>
      <c r="I1005" s="2" t="b">
        <f t="shared" si="16"/>
        <v>0</v>
      </c>
    </row>
    <row r="1006" spans="2:9" x14ac:dyDescent="0.25">
      <c r="B1006" s="161">
        <v>41603</v>
      </c>
      <c r="C1006" s="12" t="s">
        <v>792</v>
      </c>
      <c r="D1006" s="12" t="s">
        <v>457</v>
      </c>
      <c r="E1006" s="12" t="s">
        <v>804</v>
      </c>
      <c r="F1006" s="12" t="s">
        <v>796</v>
      </c>
      <c r="G1006" s="55">
        <v>3204</v>
      </c>
      <c r="H1006" s="55">
        <v>5522</v>
      </c>
      <c r="I1006" s="2" t="b">
        <f t="shared" si="16"/>
        <v>0</v>
      </c>
    </row>
    <row r="1007" spans="2:9" x14ac:dyDescent="0.25">
      <c r="B1007" s="161">
        <v>41260</v>
      </c>
      <c r="C1007" s="12" t="s">
        <v>802</v>
      </c>
      <c r="D1007" s="12" t="s">
        <v>652</v>
      </c>
      <c r="E1007" s="12" t="s">
        <v>809</v>
      </c>
      <c r="F1007" s="12" t="s">
        <v>794</v>
      </c>
      <c r="G1007" s="55">
        <v>1382</v>
      </c>
      <c r="H1007" s="55">
        <v>3215</v>
      </c>
      <c r="I1007" s="2" t="b">
        <f t="shared" si="16"/>
        <v>0</v>
      </c>
    </row>
    <row r="1008" spans="2:9" x14ac:dyDescent="0.25">
      <c r="B1008" s="161">
        <v>41175</v>
      </c>
      <c r="C1008" s="12" t="s">
        <v>792</v>
      </c>
      <c r="D1008" s="12" t="s">
        <v>797</v>
      </c>
      <c r="E1008" s="12" t="s">
        <v>607</v>
      </c>
      <c r="F1008" s="12" t="s">
        <v>796</v>
      </c>
      <c r="G1008" s="55">
        <v>4090</v>
      </c>
      <c r="H1008" s="55">
        <v>9511</v>
      </c>
      <c r="I1008" s="2" t="b">
        <f t="shared" si="16"/>
        <v>0</v>
      </c>
    </row>
    <row r="1009" spans="2:9" x14ac:dyDescent="0.25">
      <c r="B1009" s="161">
        <v>41059</v>
      </c>
      <c r="C1009" s="12" t="s">
        <v>790</v>
      </c>
      <c r="D1009" s="12" t="s">
        <v>457</v>
      </c>
      <c r="E1009" s="12" t="s">
        <v>793</v>
      </c>
      <c r="F1009" s="12" t="s">
        <v>799</v>
      </c>
      <c r="G1009" s="55">
        <v>1138</v>
      </c>
      <c r="H1009" s="55">
        <v>1294</v>
      </c>
      <c r="I1009" s="2" t="b">
        <f t="shared" si="16"/>
        <v>0</v>
      </c>
    </row>
    <row r="1010" spans="2:9" x14ac:dyDescent="0.25">
      <c r="B1010" s="161">
        <v>41558</v>
      </c>
      <c r="C1010" s="12" t="s">
        <v>792</v>
      </c>
      <c r="D1010" s="12" t="s">
        <v>801</v>
      </c>
      <c r="E1010" s="12" t="s">
        <v>806</v>
      </c>
      <c r="F1010" s="12" t="s">
        <v>799</v>
      </c>
      <c r="G1010" s="55">
        <v>7307</v>
      </c>
      <c r="H1010" s="55">
        <v>7816</v>
      </c>
      <c r="I1010" s="2" t="b">
        <f t="shared" si="16"/>
        <v>0</v>
      </c>
    </row>
    <row r="1011" spans="2:9" x14ac:dyDescent="0.25">
      <c r="B1011" s="161">
        <v>41562</v>
      </c>
      <c r="C1011" s="12" t="s">
        <v>805</v>
      </c>
      <c r="D1011" s="12" t="s">
        <v>457</v>
      </c>
      <c r="E1011" s="12" t="s">
        <v>793</v>
      </c>
      <c r="F1011" s="12" t="s">
        <v>791</v>
      </c>
      <c r="G1011" s="55">
        <v>2633</v>
      </c>
      <c r="H1011" s="55">
        <v>6123</v>
      </c>
      <c r="I1011" s="2" t="b">
        <f t="shared" si="16"/>
        <v>0</v>
      </c>
    </row>
    <row r="1012" spans="2:9" x14ac:dyDescent="0.25">
      <c r="B1012" s="161">
        <v>41402</v>
      </c>
      <c r="C1012" s="12" t="s">
        <v>792</v>
      </c>
      <c r="D1012" s="12" t="s">
        <v>652</v>
      </c>
      <c r="E1012" s="12" t="s">
        <v>806</v>
      </c>
      <c r="F1012" s="12" t="s">
        <v>791</v>
      </c>
      <c r="G1012" s="55">
        <v>815</v>
      </c>
      <c r="H1012" s="55">
        <v>1811</v>
      </c>
      <c r="I1012" s="2" t="b">
        <f t="shared" si="16"/>
        <v>0</v>
      </c>
    </row>
    <row r="1013" spans="2:9" x14ac:dyDescent="0.25">
      <c r="B1013" s="161">
        <v>41004</v>
      </c>
      <c r="C1013" s="12" t="s">
        <v>802</v>
      </c>
      <c r="D1013" s="12" t="s">
        <v>652</v>
      </c>
      <c r="E1013" s="12" t="s">
        <v>809</v>
      </c>
      <c r="F1013" s="12" t="s">
        <v>791</v>
      </c>
      <c r="G1013" s="55">
        <v>3137</v>
      </c>
      <c r="H1013" s="55">
        <v>8475</v>
      </c>
      <c r="I1013" s="2" t="b">
        <f t="shared" si="16"/>
        <v>0</v>
      </c>
    </row>
    <row r="1014" spans="2:9" x14ac:dyDescent="0.25">
      <c r="B1014" s="161">
        <v>41185</v>
      </c>
      <c r="C1014" s="12" t="s">
        <v>790</v>
      </c>
      <c r="D1014" s="12" t="s">
        <v>801</v>
      </c>
      <c r="E1014" s="12" t="s">
        <v>793</v>
      </c>
      <c r="F1014" s="12" t="s">
        <v>799</v>
      </c>
      <c r="G1014" s="55">
        <v>2069</v>
      </c>
      <c r="H1014" s="55">
        <v>5589</v>
      </c>
      <c r="I1014" s="2" t="b">
        <f t="shared" si="16"/>
        <v>0</v>
      </c>
    </row>
    <row r="1015" spans="2:9" x14ac:dyDescent="0.25">
      <c r="B1015" s="161">
        <v>41063</v>
      </c>
      <c r="C1015" s="12" t="s">
        <v>790</v>
      </c>
      <c r="D1015" s="12" t="s">
        <v>457</v>
      </c>
      <c r="E1015" s="12" t="s">
        <v>807</v>
      </c>
      <c r="F1015" s="12" t="s">
        <v>791</v>
      </c>
      <c r="G1015" s="55">
        <v>6307</v>
      </c>
      <c r="H1015" s="55">
        <v>8410</v>
      </c>
      <c r="I1015" s="2" t="b">
        <f t="shared" si="16"/>
        <v>0</v>
      </c>
    </row>
    <row r="1016" spans="2:9" x14ac:dyDescent="0.25">
      <c r="B1016" s="161">
        <v>41478</v>
      </c>
      <c r="C1016" s="12" t="s">
        <v>805</v>
      </c>
      <c r="D1016" s="12" t="s">
        <v>797</v>
      </c>
      <c r="E1016" s="12" t="s">
        <v>487</v>
      </c>
      <c r="F1016" s="12" t="s">
        <v>796</v>
      </c>
      <c r="G1016" s="55">
        <v>830</v>
      </c>
      <c r="H1016" s="55">
        <v>942</v>
      </c>
      <c r="I1016" s="2" t="b">
        <f t="shared" si="16"/>
        <v>0</v>
      </c>
    </row>
    <row r="1017" spans="2:9" x14ac:dyDescent="0.25">
      <c r="B1017" s="161">
        <v>41540</v>
      </c>
      <c r="C1017" s="12" t="s">
        <v>805</v>
      </c>
      <c r="D1017" s="12" t="s">
        <v>797</v>
      </c>
      <c r="E1017" s="12" t="s">
        <v>800</v>
      </c>
      <c r="F1017" s="12" t="s">
        <v>794</v>
      </c>
      <c r="G1017" s="55">
        <v>3281</v>
      </c>
      <c r="H1017" s="55">
        <v>5656</v>
      </c>
      <c r="I1017" s="2" t="b">
        <f t="shared" si="16"/>
        <v>0</v>
      </c>
    </row>
    <row r="1018" spans="2:9" x14ac:dyDescent="0.25">
      <c r="B1018" s="161">
        <v>41522</v>
      </c>
      <c r="C1018" s="12" t="s">
        <v>792</v>
      </c>
      <c r="D1018" s="12" t="s">
        <v>797</v>
      </c>
      <c r="E1018" s="12" t="s">
        <v>809</v>
      </c>
      <c r="F1018" s="12" t="s">
        <v>794</v>
      </c>
      <c r="G1018" s="55">
        <v>3210</v>
      </c>
      <c r="H1018" s="55">
        <v>5441</v>
      </c>
      <c r="I1018" s="2" t="b">
        <f t="shared" si="16"/>
        <v>0</v>
      </c>
    </row>
    <row r="1019" spans="2:9" x14ac:dyDescent="0.25">
      <c r="B1019" s="161">
        <v>41103</v>
      </c>
      <c r="C1019" s="12" t="s">
        <v>792</v>
      </c>
      <c r="D1019" s="12" t="s">
        <v>801</v>
      </c>
      <c r="E1019" s="12" t="s">
        <v>807</v>
      </c>
      <c r="F1019" s="12" t="s">
        <v>791</v>
      </c>
      <c r="G1019" s="55">
        <v>1612</v>
      </c>
      <c r="H1019" s="55">
        <v>4358</v>
      </c>
      <c r="I1019" s="2" t="b">
        <f t="shared" si="16"/>
        <v>0</v>
      </c>
    </row>
    <row r="1020" spans="2:9" x14ac:dyDescent="0.25">
      <c r="B1020" s="161">
        <v>41413</v>
      </c>
      <c r="C1020" s="12" t="s">
        <v>805</v>
      </c>
      <c r="D1020" s="12" t="s">
        <v>457</v>
      </c>
      <c r="E1020" s="12" t="s">
        <v>806</v>
      </c>
      <c r="F1020" s="12" t="s">
        <v>791</v>
      </c>
      <c r="G1020" s="55">
        <v>1798</v>
      </c>
      <c r="H1020" s="55">
        <v>3102</v>
      </c>
      <c r="I1020" s="2" t="b">
        <f t="shared" si="16"/>
        <v>0</v>
      </c>
    </row>
    <row r="1021" spans="2:9" x14ac:dyDescent="0.25">
      <c r="B1021" s="161">
        <v>41205</v>
      </c>
      <c r="C1021" s="12" t="s">
        <v>805</v>
      </c>
      <c r="D1021" s="12" t="s">
        <v>801</v>
      </c>
      <c r="E1021" s="12" t="s">
        <v>806</v>
      </c>
      <c r="F1021" s="12" t="s">
        <v>799</v>
      </c>
      <c r="G1021" s="55">
        <v>4923</v>
      </c>
      <c r="H1021" s="55">
        <v>8345</v>
      </c>
      <c r="I1021" s="2" t="b">
        <f t="shared" si="16"/>
        <v>0</v>
      </c>
    </row>
    <row r="1022" spans="2:9" x14ac:dyDescent="0.25">
      <c r="B1022" s="161">
        <v>41315</v>
      </c>
      <c r="C1022" s="12" t="s">
        <v>790</v>
      </c>
      <c r="D1022" s="12" t="s">
        <v>457</v>
      </c>
      <c r="E1022" s="12" t="s">
        <v>607</v>
      </c>
      <c r="F1022" s="12" t="s">
        <v>794</v>
      </c>
      <c r="G1022" s="55">
        <v>1090</v>
      </c>
      <c r="H1022" s="55">
        <v>2532</v>
      </c>
      <c r="I1022" s="2" t="b">
        <f t="shared" si="16"/>
        <v>0</v>
      </c>
    </row>
    <row r="1023" spans="2:9" x14ac:dyDescent="0.25">
      <c r="B1023" s="161">
        <v>41161</v>
      </c>
      <c r="C1023" s="12" t="s">
        <v>792</v>
      </c>
      <c r="D1023" s="12" t="s">
        <v>797</v>
      </c>
      <c r="E1023" s="12" t="s">
        <v>807</v>
      </c>
      <c r="F1023" s="12" t="s">
        <v>796</v>
      </c>
      <c r="G1023" s="55">
        <v>4391</v>
      </c>
      <c r="H1023" s="55">
        <v>4697</v>
      </c>
      <c r="I1023" s="2" t="b">
        <f t="shared" si="16"/>
        <v>0</v>
      </c>
    </row>
    <row r="1024" spans="2:9" x14ac:dyDescent="0.25">
      <c r="B1024" s="161">
        <v>40996</v>
      </c>
      <c r="C1024" s="12" t="s">
        <v>792</v>
      </c>
      <c r="D1024" s="12" t="s">
        <v>457</v>
      </c>
      <c r="E1024" s="12" t="s">
        <v>800</v>
      </c>
      <c r="F1024" s="12" t="s">
        <v>791</v>
      </c>
      <c r="G1024" s="55">
        <v>2295</v>
      </c>
      <c r="H1024" s="55">
        <v>2455</v>
      </c>
      <c r="I1024" s="2" t="b">
        <f t="shared" si="16"/>
        <v>0</v>
      </c>
    </row>
    <row r="1025" spans="2:9" x14ac:dyDescent="0.25">
      <c r="B1025" s="161">
        <v>41297</v>
      </c>
      <c r="C1025" s="12" t="s">
        <v>792</v>
      </c>
      <c r="D1025" s="12" t="s">
        <v>457</v>
      </c>
      <c r="E1025" s="12" t="s">
        <v>807</v>
      </c>
      <c r="F1025" s="12" t="s">
        <v>794</v>
      </c>
      <c r="G1025" s="55">
        <v>3704</v>
      </c>
      <c r="H1025" s="55">
        <v>8229</v>
      </c>
      <c r="I1025" s="2" t="b">
        <f t="shared" si="16"/>
        <v>1</v>
      </c>
    </row>
    <row r="1026" spans="2:9" x14ac:dyDescent="0.25">
      <c r="B1026" s="161">
        <v>41537</v>
      </c>
      <c r="C1026" s="12" t="s">
        <v>790</v>
      </c>
      <c r="D1026" s="12" t="s">
        <v>652</v>
      </c>
      <c r="E1026" s="12" t="s">
        <v>798</v>
      </c>
      <c r="F1026" s="12" t="s">
        <v>791</v>
      </c>
      <c r="G1026" s="55">
        <v>4647</v>
      </c>
      <c r="H1026" s="55">
        <v>8012</v>
      </c>
      <c r="I1026" s="2" t="b">
        <f t="shared" si="16"/>
        <v>0</v>
      </c>
    </row>
    <row r="1027" spans="2:9" x14ac:dyDescent="0.25">
      <c r="B1027" s="161">
        <v>41115</v>
      </c>
      <c r="C1027" s="12" t="s">
        <v>790</v>
      </c>
      <c r="D1027" s="12" t="s">
        <v>797</v>
      </c>
      <c r="E1027" s="12" t="s">
        <v>804</v>
      </c>
      <c r="F1027" s="12" t="s">
        <v>794</v>
      </c>
      <c r="G1027" s="55">
        <v>3289</v>
      </c>
      <c r="H1027" s="55">
        <v>5977</v>
      </c>
      <c r="I1027" s="2" t="b">
        <f t="shared" si="16"/>
        <v>0</v>
      </c>
    </row>
    <row r="1028" spans="2:9" x14ac:dyDescent="0.25">
      <c r="B1028" s="161">
        <v>41427</v>
      </c>
      <c r="C1028" s="12" t="s">
        <v>802</v>
      </c>
      <c r="D1028" s="12" t="s">
        <v>797</v>
      </c>
      <c r="E1028" s="12" t="s">
        <v>807</v>
      </c>
      <c r="F1028" s="12" t="s">
        <v>791</v>
      </c>
      <c r="G1028" s="55">
        <v>6664</v>
      </c>
      <c r="H1028" s="55">
        <v>9799</v>
      </c>
      <c r="I1028" s="2" t="b">
        <f t="shared" si="16"/>
        <v>0</v>
      </c>
    </row>
    <row r="1029" spans="2:9" x14ac:dyDescent="0.25">
      <c r="B1029" s="161">
        <v>41158</v>
      </c>
      <c r="C1029" s="12" t="s">
        <v>805</v>
      </c>
      <c r="D1029" s="12" t="s">
        <v>652</v>
      </c>
      <c r="E1029" s="12" t="s">
        <v>809</v>
      </c>
      <c r="F1029" s="12" t="s">
        <v>791</v>
      </c>
      <c r="G1029" s="55">
        <v>4775</v>
      </c>
      <c r="H1029" s="55">
        <v>8682</v>
      </c>
      <c r="I1029" s="2" t="b">
        <f t="shared" si="16"/>
        <v>0</v>
      </c>
    </row>
    <row r="1030" spans="2:9" x14ac:dyDescent="0.25">
      <c r="B1030" s="161">
        <v>41094</v>
      </c>
      <c r="C1030" s="12" t="s">
        <v>790</v>
      </c>
      <c r="D1030" s="12" t="s">
        <v>797</v>
      </c>
      <c r="E1030" s="12" t="s">
        <v>793</v>
      </c>
      <c r="F1030" s="12" t="s">
        <v>791</v>
      </c>
      <c r="G1030" s="55">
        <v>8788</v>
      </c>
      <c r="H1030" s="55">
        <v>9986</v>
      </c>
      <c r="I1030" s="2" t="b">
        <f t="shared" si="16"/>
        <v>0</v>
      </c>
    </row>
    <row r="1031" spans="2:9" x14ac:dyDescent="0.25">
      <c r="B1031" s="161">
        <v>41470</v>
      </c>
      <c r="C1031" s="12" t="s">
        <v>792</v>
      </c>
      <c r="D1031" s="12" t="s">
        <v>652</v>
      </c>
      <c r="E1031" s="12" t="s">
        <v>798</v>
      </c>
      <c r="F1031" s="12" t="s">
        <v>794</v>
      </c>
      <c r="G1031" s="55">
        <v>3146</v>
      </c>
      <c r="H1031" s="55">
        <v>3364</v>
      </c>
      <c r="I1031" s="2" t="b">
        <f t="shared" ref="I1031:I1094" si="17">AND($K$9=C1031,$L$9=D1031,$M$9=F1031)</f>
        <v>0</v>
      </c>
    </row>
    <row r="1032" spans="2:9" x14ac:dyDescent="0.25">
      <c r="B1032" s="161">
        <v>41250</v>
      </c>
      <c r="C1032" s="12" t="s">
        <v>805</v>
      </c>
      <c r="D1032" s="12" t="s">
        <v>801</v>
      </c>
      <c r="E1032" s="12" t="s">
        <v>607</v>
      </c>
      <c r="F1032" s="12" t="s">
        <v>791</v>
      </c>
      <c r="G1032" s="55">
        <v>4486</v>
      </c>
      <c r="H1032" s="55">
        <v>4797</v>
      </c>
      <c r="I1032" s="2" t="b">
        <f t="shared" si="17"/>
        <v>0</v>
      </c>
    </row>
    <row r="1033" spans="2:9" x14ac:dyDescent="0.25">
      <c r="B1033" s="161">
        <v>41109</v>
      </c>
      <c r="C1033" s="12" t="s">
        <v>792</v>
      </c>
      <c r="D1033" s="12" t="s">
        <v>652</v>
      </c>
      <c r="E1033" s="12" t="s">
        <v>607</v>
      </c>
      <c r="F1033" s="12" t="s">
        <v>796</v>
      </c>
      <c r="G1033" s="55">
        <v>1832</v>
      </c>
      <c r="H1033" s="55">
        <v>3106</v>
      </c>
      <c r="I1033" s="2" t="b">
        <f t="shared" si="17"/>
        <v>0</v>
      </c>
    </row>
    <row r="1034" spans="2:9" x14ac:dyDescent="0.25">
      <c r="B1034" s="161">
        <v>41610</v>
      </c>
      <c r="C1034" s="12" t="s">
        <v>792</v>
      </c>
      <c r="D1034" s="12" t="s">
        <v>797</v>
      </c>
      <c r="E1034" s="12" t="s">
        <v>804</v>
      </c>
      <c r="F1034" s="12" t="s">
        <v>796</v>
      </c>
      <c r="G1034" s="55">
        <v>2581</v>
      </c>
      <c r="H1034" s="55">
        <v>4690</v>
      </c>
      <c r="I1034" s="2" t="b">
        <f t="shared" si="17"/>
        <v>0</v>
      </c>
    </row>
    <row r="1035" spans="2:9" x14ac:dyDescent="0.25">
      <c r="B1035" s="161">
        <v>41165</v>
      </c>
      <c r="C1035" s="12" t="s">
        <v>802</v>
      </c>
      <c r="D1035" s="12" t="s">
        <v>652</v>
      </c>
      <c r="E1035" s="12" t="s">
        <v>795</v>
      </c>
      <c r="F1035" s="12" t="s">
        <v>791</v>
      </c>
      <c r="G1035" s="55">
        <v>2402</v>
      </c>
      <c r="H1035" s="55">
        <v>4071</v>
      </c>
      <c r="I1035" s="2" t="b">
        <f t="shared" si="17"/>
        <v>0</v>
      </c>
    </row>
    <row r="1036" spans="2:9" x14ac:dyDescent="0.25">
      <c r="B1036" s="161">
        <v>40967</v>
      </c>
      <c r="C1036" s="12" t="s">
        <v>802</v>
      </c>
      <c r="D1036" s="12" t="s">
        <v>801</v>
      </c>
      <c r="E1036" s="12" t="s">
        <v>809</v>
      </c>
      <c r="F1036" s="12" t="s">
        <v>799</v>
      </c>
      <c r="G1036" s="55">
        <v>856</v>
      </c>
      <c r="H1036" s="55">
        <v>1900</v>
      </c>
      <c r="I1036" s="2" t="b">
        <f t="shared" si="17"/>
        <v>0</v>
      </c>
    </row>
    <row r="1037" spans="2:9" x14ac:dyDescent="0.25">
      <c r="B1037" s="161">
        <v>41338</v>
      </c>
      <c r="C1037" s="12" t="s">
        <v>792</v>
      </c>
      <c r="D1037" s="12" t="s">
        <v>457</v>
      </c>
      <c r="E1037" s="12" t="s">
        <v>808</v>
      </c>
      <c r="F1037" s="12" t="s">
        <v>796</v>
      </c>
      <c r="G1037" s="55">
        <v>797</v>
      </c>
      <c r="H1037" s="55">
        <v>1447</v>
      </c>
      <c r="I1037" s="2" t="b">
        <f t="shared" si="17"/>
        <v>0</v>
      </c>
    </row>
    <row r="1038" spans="2:9" x14ac:dyDescent="0.25">
      <c r="B1038" s="161">
        <v>41158</v>
      </c>
      <c r="C1038" s="12" t="s">
        <v>802</v>
      </c>
      <c r="D1038" s="12" t="s">
        <v>652</v>
      </c>
      <c r="E1038" s="12" t="s">
        <v>795</v>
      </c>
      <c r="F1038" s="12" t="s">
        <v>796</v>
      </c>
      <c r="G1038" s="55">
        <v>3980</v>
      </c>
      <c r="H1038" s="55">
        <v>4523</v>
      </c>
      <c r="I1038" s="2" t="b">
        <f t="shared" si="17"/>
        <v>0</v>
      </c>
    </row>
    <row r="1039" spans="2:9" x14ac:dyDescent="0.25">
      <c r="B1039" s="161">
        <v>41284</v>
      </c>
      <c r="C1039" s="12" t="s">
        <v>792</v>
      </c>
      <c r="D1039" s="12" t="s">
        <v>652</v>
      </c>
      <c r="E1039" s="12" t="s">
        <v>809</v>
      </c>
      <c r="F1039" s="12" t="s">
        <v>799</v>
      </c>
      <c r="G1039" s="55">
        <v>988</v>
      </c>
      <c r="H1039" s="55">
        <v>1058</v>
      </c>
      <c r="I1039" s="2" t="b">
        <f t="shared" si="17"/>
        <v>0</v>
      </c>
    </row>
    <row r="1040" spans="2:9" x14ac:dyDescent="0.25">
      <c r="B1040" s="161">
        <v>41264</v>
      </c>
      <c r="C1040" s="12" t="s">
        <v>802</v>
      </c>
      <c r="D1040" s="12" t="s">
        <v>801</v>
      </c>
      <c r="E1040" s="12" t="s">
        <v>809</v>
      </c>
      <c r="F1040" s="12" t="s">
        <v>796</v>
      </c>
      <c r="G1040" s="55">
        <v>1749</v>
      </c>
      <c r="H1040" s="55">
        <v>1871</v>
      </c>
      <c r="I1040" s="2" t="b">
        <f t="shared" si="17"/>
        <v>0</v>
      </c>
    </row>
    <row r="1041" spans="2:9" x14ac:dyDescent="0.25">
      <c r="B1041" s="161">
        <v>41356</v>
      </c>
      <c r="C1041" s="12" t="s">
        <v>790</v>
      </c>
      <c r="D1041" s="12" t="s">
        <v>457</v>
      </c>
      <c r="E1041" s="12" t="s">
        <v>795</v>
      </c>
      <c r="F1041" s="12" t="s">
        <v>791</v>
      </c>
      <c r="G1041" s="55">
        <v>7978</v>
      </c>
      <c r="H1041" s="55">
        <v>8534</v>
      </c>
      <c r="I1041" s="2" t="b">
        <f t="shared" si="17"/>
        <v>0</v>
      </c>
    </row>
    <row r="1042" spans="2:9" x14ac:dyDescent="0.25">
      <c r="B1042" s="161">
        <v>41587</v>
      </c>
      <c r="C1042" s="12" t="s">
        <v>790</v>
      </c>
      <c r="D1042" s="12" t="s">
        <v>457</v>
      </c>
      <c r="E1042" s="12" t="s">
        <v>487</v>
      </c>
      <c r="F1042" s="12" t="s">
        <v>796</v>
      </c>
      <c r="G1042" s="55">
        <v>3375</v>
      </c>
      <c r="H1042" s="55">
        <v>7847</v>
      </c>
      <c r="I1042" s="2" t="b">
        <f t="shared" si="17"/>
        <v>0</v>
      </c>
    </row>
    <row r="1043" spans="2:9" x14ac:dyDescent="0.25">
      <c r="B1043" s="161">
        <v>41119</v>
      </c>
      <c r="C1043" s="12" t="s">
        <v>792</v>
      </c>
      <c r="D1043" s="12" t="s">
        <v>797</v>
      </c>
      <c r="E1043" s="12" t="s">
        <v>607</v>
      </c>
      <c r="F1043" s="12" t="s">
        <v>796</v>
      </c>
      <c r="G1043" s="55">
        <v>3218</v>
      </c>
      <c r="H1043" s="55">
        <v>5852</v>
      </c>
      <c r="I1043" s="2" t="b">
        <f t="shared" si="17"/>
        <v>0</v>
      </c>
    </row>
    <row r="1044" spans="2:9" x14ac:dyDescent="0.25">
      <c r="B1044" s="161">
        <v>41556</v>
      </c>
      <c r="C1044" s="12" t="s">
        <v>790</v>
      </c>
      <c r="D1044" s="12" t="s">
        <v>457</v>
      </c>
      <c r="E1044" s="12" t="s">
        <v>807</v>
      </c>
      <c r="F1044" s="12" t="s">
        <v>791</v>
      </c>
      <c r="G1044" s="55">
        <v>3348</v>
      </c>
      <c r="H1044" s="55">
        <v>7439</v>
      </c>
      <c r="I1044" s="2" t="b">
        <f t="shared" si="17"/>
        <v>0</v>
      </c>
    </row>
    <row r="1045" spans="2:9" x14ac:dyDescent="0.25">
      <c r="B1045" s="161">
        <v>40935</v>
      </c>
      <c r="C1045" s="12" t="s">
        <v>792</v>
      </c>
      <c r="D1045" s="12" t="s">
        <v>797</v>
      </c>
      <c r="E1045" s="12" t="s">
        <v>807</v>
      </c>
      <c r="F1045" s="12" t="s">
        <v>796</v>
      </c>
      <c r="G1045" s="55">
        <v>4856</v>
      </c>
      <c r="H1045" s="55">
        <v>5195</v>
      </c>
      <c r="I1045" s="2" t="b">
        <f t="shared" si="17"/>
        <v>0</v>
      </c>
    </row>
    <row r="1046" spans="2:9" x14ac:dyDescent="0.25">
      <c r="B1046" s="161">
        <v>41033</v>
      </c>
      <c r="C1046" s="12" t="s">
        <v>790</v>
      </c>
      <c r="D1046" s="12" t="s">
        <v>797</v>
      </c>
      <c r="E1046" s="12" t="s">
        <v>804</v>
      </c>
      <c r="F1046" s="12" t="s">
        <v>794</v>
      </c>
      <c r="G1046" s="55">
        <v>6409</v>
      </c>
      <c r="H1046" s="55">
        <v>9423</v>
      </c>
      <c r="I1046" s="2" t="b">
        <f t="shared" si="17"/>
        <v>0</v>
      </c>
    </row>
    <row r="1047" spans="2:9" x14ac:dyDescent="0.25">
      <c r="B1047" s="161">
        <v>40967</v>
      </c>
      <c r="C1047" s="12" t="s">
        <v>802</v>
      </c>
      <c r="D1047" s="12" t="s">
        <v>652</v>
      </c>
      <c r="E1047" s="12" t="s">
        <v>804</v>
      </c>
      <c r="F1047" s="12" t="s">
        <v>794</v>
      </c>
      <c r="G1047" s="55">
        <v>8703</v>
      </c>
      <c r="H1047" s="55">
        <v>9889</v>
      </c>
      <c r="I1047" s="2" t="b">
        <f t="shared" si="17"/>
        <v>0</v>
      </c>
    </row>
    <row r="1048" spans="2:9" x14ac:dyDescent="0.25">
      <c r="B1048" s="161">
        <v>41223</v>
      </c>
      <c r="C1048" s="12" t="s">
        <v>792</v>
      </c>
      <c r="D1048" s="12" t="s">
        <v>652</v>
      </c>
      <c r="E1048" s="12" t="s">
        <v>798</v>
      </c>
      <c r="F1048" s="12" t="s">
        <v>799</v>
      </c>
      <c r="G1048" s="55">
        <v>3427</v>
      </c>
      <c r="H1048" s="55">
        <v>6231</v>
      </c>
      <c r="I1048" s="2" t="b">
        <f t="shared" si="17"/>
        <v>0</v>
      </c>
    </row>
    <row r="1049" spans="2:9" x14ac:dyDescent="0.25">
      <c r="B1049" s="161">
        <v>41010</v>
      </c>
      <c r="C1049" s="12" t="s">
        <v>790</v>
      </c>
      <c r="D1049" s="12" t="s">
        <v>652</v>
      </c>
      <c r="E1049" s="12" t="s">
        <v>798</v>
      </c>
      <c r="F1049" s="12" t="s">
        <v>794</v>
      </c>
      <c r="G1049" s="55">
        <v>3268</v>
      </c>
      <c r="H1049" s="55">
        <v>7600</v>
      </c>
      <c r="I1049" s="2" t="b">
        <f t="shared" si="17"/>
        <v>0</v>
      </c>
    </row>
    <row r="1050" spans="2:9" x14ac:dyDescent="0.25">
      <c r="B1050" s="161">
        <v>41351</v>
      </c>
      <c r="C1050" s="12" t="s">
        <v>792</v>
      </c>
      <c r="D1050" s="12" t="s">
        <v>457</v>
      </c>
      <c r="E1050" s="12" t="s">
        <v>795</v>
      </c>
      <c r="F1050" s="12" t="s">
        <v>799</v>
      </c>
      <c r="G1050" s="55">
        <v>6940</v>
      </c>
      <c r="H1050" s="55">
        <v>7422</v>
      </c>
      <c r="I1050" s="2" t="b">
        <f t="shared" si="17"/>
        <v>0</v>
      </c>
    </row>
    <row r="1051" spans="2:9" x14ac:dyDescent="0.25">
      <c r="B1051" s="161">
        <v>40969</v>
      </c>
      <c r="C1051" s="12" t="s">
        <v>805</v>
      </c>
      <c r="D1051" s="12" t="s">
        <v>801</v>
      </c>
      <c r="E1051" s="12" t="s">
        <v>798</v>
      </c>
      <c r="F1051" s="12" t="s">
        <v>794</v>
      </c>
      <c r="G1051" s="55">
        <v>1845</v>
      </c>
      <c r="H1051" s="55">
        <v>3352</v>
      </c>
      <c r="I1051" s="2" t="b">
        <f t="shared" si="17"/>
        <v>0</v>
      </c>
    </row>
    <row r="1052" spans="2:9" x14ac:dyDescent="0.25">
      <c r="B1052" s="161">
        <v>41628</v>
      </c>
      <c r="C1052" s="12" t="s">
        <v>790</v>
      </c>
      <c r="D1052" s="12" t="s">
        <v>801</v>
      </c>
      <c r="E1052" s="12" t="s">
        <v>795</v>
      </c>
      <c r="F1052" s="12" t="s">
        <v>799</v>
      </c>
      <c r="G1052" s="55">
        <v>3589</v>
      </c>
      <c r="H1052" s="55">
        <v>8348</v>
      </c>
      <c r="I1052" s="2" t="b">
        <f t="shared" si="17"/>
        <v>0</v>
      </c>
    </row>
    <row r="1053" spans="2:9" x14ac:dyDescent="0.25">
      <c r="B1053" s="161">
        <v>41127</v>
      </c>
      <c r="C1053" s="12" t="s">
        <v>802</v>
      </c>
      <c r="D1053" s="12" t="s">
        <v>797</v>
      </c>
      <c r="E1053" s="12" t="s">
        <v>487</v>
      </c>
      <c r="F1053" s="12" t="s">
        <v>799</v>
      </c>
      <c r="G1053" s="55">
        <v>3617</v>
      </c>
      <c r="H1053" s="55">
        <v>8413</v>
      </c>
      <c r="I1053" s="2" t="b">
        <f t="shared" si="17"/>
        <v>0</v>
      </c>
    </row>
    <row r="1054" spans="2:9" x14ac:dyDescent="0.25">
      <c r="B1054" s="161">
        <v>41502</v>
      </c>
      <c r="C1054" s="12" t="s">
        <v>805</v>
      </c>
      <c r="D1054" s="12" t="s">
        <v>457</v>
      </c>
      <c r="E1054" s="12" t="s">
        <v>800</v>
      </c>
      <c r="F1054" s="12" t="s">
        <v>794</v>
      </c>
      <c r="G1054" s="55">
        <v>2096</v>
      </c>
      <c r="H1054" s="55">
        <v>3083</v>
      </c>
      <c r="I1054" s="2" t="b">
        <f t="shared" si="17"/>
        <v>0</v>
      </c>
    </row>
    <row r="1055" spans="2:9" x14ac:dyDescent="0.25">
      <c r="B1055" s="161">
        <v>41029</v>
      </c>
      <c r="C1055" s="12" t="s">
        <v>802</v>
      </c>
      <c r="D1055" s="12" t="s">
        <v>457</v>
      </c>
      <c r="E1055" s="12" t="s">
        <v>793</v>
      </c>
      <c r="F1055" s="12" t="s">
        <v>799</v>
      </c>
      <c r="G1055" s="55">
        <v>3234</v>
      </c>
      <c r="H1055" s="55">
        <v>5481</v>
      </c>
      <c r="I1055" s="2" t="b">
        <f t="shared" si="17"/>
        <v>0</v>
      </c>
    </row>
    <row r="1056" spans="2:9" x14ac:dyDescent="0.25">
      <c r="B1056" s="161">
        <v>41456</v>
      </c>
      <c r="C1056" s="12" t="s">
        <v>792</v>
      </c>
      <c r="D1056" s="12" t="s">
        <v>801</v>
      </c>
      <c r="E1056" s="12" t="s">
        <v>807</v>
      </c>
      <c r="F1056" s="12" t="s">
        <v>791</v>
      </c>
      <c r="G1056" s="55">
        <v>2656</v>
      </c>
      <c r="H1056" s="55">
        <v>4502</v>
      </c>
      <c r="I1056" s="2" t="b">
        <f t="shared" si="17"/>
        <v>0</v>
      </c>
    </row>
    <row r="1057" spans="2:9" x14ac:dyDescent="0.25">
      <c r="B1057" s="161">
        <v>41282</v>
      </c>
      <c r="C1057" s="12" t="s">
        <v>802</v>
      </c>
      <c r="D1057" s="12" t="s">
        <v>652</v>
      </c>
      <c r="E1057" s="12" t="s">
        <v>803</v>
      </c>
      <c r="F1057" s="12" t="s">
        <v>791</v>
      </c>
      <c r="G1057" s="55">
        <v>1194</v>
      </c>
      <c r="H1057" s="55">
        <v>2654</v>
      </c>
      <c r="I1057" s="2" t="b">
        <f t="shared" si="17"/>
        <v>0</v>
      </c>
    </row>
    <row r="1058" spans="2:9" x14ac:dyDescent="0.25">
      <c r="B1058" s="161">
        <v>41172</v>
      </c>
      <c r="C1058" s="12" t="s">
        <v>790</v>
      </c>
      <c r="D1058" s="12" t="s">
        <v>457</v>
      </c>
      <c r="E1058" s="12" t="s">
        <v>798</v>
      </c>
      <c r="F1058" s="12" t="s">
        <v>796</v>
      </c>
      <c r="G1058" s="55">
        <v>2833</v>
      </c>
      <c r="H1058" s="55">
        <v>4801</v>
      </c>
      <c r="I1058" s="2" t="b">
        <f t="shared" si="17"/>
        <v>0</v>
      </c>
    </row>
    <row r="1059" spans="2:9" x14ac:dyDescent="0.25">
      <c r="B1059" s="161">
        <v>41400</v>
      </c>
      <c r="C1059" s="12" t="s">
        <v>792</v>
      </c>
      <c r="D1059" s="12" t="s">
        <v>801</v>
      </c>
      <c r="E1059" s="12" t="s">
        <v>809</v>
      </c>
      <c r="F1059" s="12" t="s">
        <v>791</v>
      </c>
      <c r="G1059" s="55">
        <v>1559</v>
      </c>
      <c r="H1059" s="55">
        <v>3463</v>
      </c>
      <c r="I1059" s="2" t="b">
        <f t="shared" si="17"/>
        <v>0</v>
      </c>
    </row>
    <row r="1060" spans="2:9" x14ac:dyDescent="0.25">
      <c r="B1060" s="161">
        <v>41434</v>
      </c>
      <c r="C1060" s="12" t="s">
        <v>805</v>
      </c>
      <c r="D1060" s="12" t="s">
        <v>797</v>
      </c>
      <c r="E1060" s="12" t="s">
        <v>808</v>
      </c>
      <c r="F1060" s="12" t="s">
        <v>796</v>
      </c>
      <c r="G1060" s="55">
        <v>5772</v>
      </c>
      <c r="H1060" s="55">
        <v>9950</v>
      </c>
      <c r="I1060" s="2" t="b">
        <f t="shared" si="17"/>
        <v>0</v>
      </c>
    </row>
    <row r="1061" spans="2:9" x14ac:dyDescent="0.25">
      <c r="B1061" s="161">
        <v>41523</v>
      </c>
      <c r="C1061" s="12" t="s">
        <v>802</v>
      </c>
      <c r="D1061" s="12" t="s">
        <v>801</v>
      </c>
      <c r="E1061" s="12" t="s">
        <v>800</v>
      </c>
      <c r="F1061" s="12" t="s">
        <v>791</v>
      </c>
      <c r="G1061" s="55">
        <v>1823</v>
      </c>
      <c r="H1061" s="55">
        <v>3090</v>
      </c>
      <c r="I1061" s="2" t="b">
        <f t="shared" si="17"/>
        <v>0</v>
      </c>
    </row>
    <row r="1062" spans="2:9" x14ac:dyDescent="0.25">
      <c r="B1062" s="161">
        <v>41335</v>
      </c>
      <c r="C1062" s="12" t="s">
        <v>805</v>
      </c>
      <c r="D1062" s="12" t="s">
        <v>457</v>
      </c>
      <c r="E1062" s="12" t="s">
        <v>803</v>
      </c>
      <c r="F1062" s="12" t="s">
        <v>799</v>
      </c>
      <c r="G1062" s="55">
        <v>3803</v>
      </c>
      <c r="H1062" s="55">
        <v>6558</v>
      </c>
      <c r="I1062" s="2" t="b">
        <f t="shared" si="17"/>
        <v>0</v>
      </c>
    </row>
    <row r="1063" spans="2:9" x14ac:dyDescent="0.25">
      <c r="B1063" s="161">
        <v>41098</v>
      </c>
      <c r="C1063" s="12" t="s">
        <v>790</v>
      </c>
      <c r="D1063" s="12" t="s">
        <v>652</v>
      </c>
      <c r="E1063" s="12" t="s">
        <v>808</v>
      </c>
      <c r="F1063" s="12" t="s">
        <v>794</v>
      </c>
      <c r="G1063" s="55">
        <v>3735</v>
      </c>
      <c r="H1063" s="55">
        <v>4980</v>
      </c>
      <c r="I1063" s="2" t="b">
        <f t="shared" si="17"/>
        <v>0</v>
      </c>
    </row>
    <row r="1064" spans="2:9" x14ac:dyDescent="0.25">
      <c r="B1064" s="161">
        <v>41018</v>
      </c>
      <c r="C1064" s="12" t="s">
        <v>802</v>
      </c>
      <c r="D1064" s="12" t="s">
        <v>652</v>
      </c>
      <c r="E1064" s="12" t="s">
        <v>807</v>
      </c>
      <c r="F1064" s="12" t="s">
        <v>799</v>
      </c>
      <c r="G1064" s="55">
        <v>4339</v>
      </c>
      <c r="H1064" s="55">
        <v>7354</v>
      </c>
      <c r="I1064" s="2" t="b">
        <f t="shared" si="17"/>
        <v>0</v>
      </c>
    </row>
    <row r="1065" spans="2:9" x14ac:dyDescent="0.25">
      <c r="B1065" s="161">
        <v>41181</v>
      </c>
      <c r="C1065" s="12" t="s">
        <v>792</v>
      </c>
      <c r="D1065" s="12" t="s">
        <v>801</v>
      </c>
      <c r="E1065" s="12" t="s">
        <v>809</v>
      </c>
      <c r="F1065" s="12" t="s">
        <v>794</v>
      </c>
      <c r="G1065" s="55">
        <v>3031</v>
      </c>
      <c r="H1065" s="55">
        <v>5225</v>
      </c>
      <c r="I1065" s="2" t="b">
        <f t="shared" si="17"/>
        <v>0</v>
      </c>
    </row>
    <row r="1066" spans="2:9" x14ac:dyDescent="0.25">
      <c r="B1066" s="161">
        <v>40917</v>
      </c>
      <c r="C1066" s="12" t="s">
        <v>805</v>
      </c>
      <c r="D1066" s="12" t="s">
        <v>457</v>
      </c>
      <c r="E1066" s="12" t="s">
        <v>807</v>
      </c>
      <c r="F1066" s="12" t="s">
        <v>799</v>
      </c>
      <c r="G1066" s="55">
        <v>1205</v>
      </c>
      <c r="H1066" s="55">
        <v>1772</v>
      </c>
      <c r="I1066" s="2" t="b">
        <f t="shared" si="17"/>
        <v>0</v>
      </c>
    </row>
    <row r="1067" spans="2:9" x14ac:dyDescent="0.25">
      <c r="B1067" s="161">
        <v>41216</v>
      </c>
      <c r="C1067" s="12" t="s">
        <v>792</v>
      </c>
      <c r="D1067" s="12" t="s">
        <v>801</v>
      </c>
      <c r="E1067" s="12" t="s">
        <v>607</v>
      </c>
      <c r="F1067" s="12" t="s">
        <v>796</v>
      </c>
      <c r="G1067" s="55">
        <v>3517</v>
      </c>
      <c r="H1067" s="55">
        <v>6394</v>
      </c>
      <c r="I1067" s="2" t="b">
        <f t="shared" si="17"/>
        <v>0</v>
      </c>
    </row>
    <row r="1068" spans="2:9" x14ac:dyDescent="0.25">
      <c r="B1068" s="161">
        <v>41515</v>
      </c>
      <c r="C1068" s="12" t="s">
        <v>802</v>
      </c>
      <c r="D1068" s="12" t="s">
        <v>801</v>
      </c>
      <c r="E1068" s="12" t="s">
        <v>808</v>
      </c>
      <c r="F1068" s="12" t="s">
        <v>799</v>
      </c>
      <c r="G1068" s="55">
        <v>1777</v>
      </c>
      <c r="H1068" s="55">
        <v>4130</v>
      </c>
      <c r="I1068" s="2" t="b">
        <f t="shared" si="17"/>
        <v>0</v>
      </c>
    </row>
    <row r="1069" spans="2:9" x14ac:dyDescent="0.25">
      <c r="B1069" s="161">
        <v>41085</v>
      </c>
      <c r="C1069" s="12" t="s">
        <v>790</v>
      </c>
      <c r="D1069" s="12" t="s">
        <v>652</v>
      </c>
      <c r="E1069" s="12" t="s">
        <v>607</v>
      </c>
      <c r="F1069" s="12" t="s">
        <v>791</v>
      </c>
      <c r="G1069" s="55">
        <v>2357</v>
      </c>
      <c r="H1069" s="55">
        <v>2521</v>
      </c>
      <c r="I1069" s="2" t="b">
        <f t="shared" si="17"/>
        <v>0</v>
      </c>
    </row>
    <row r="1070" spans="2:9" x14ac:dyDescent="0.25">
      <c r="B1070" s="161">
        <v>41515</v>
      </c>
      <c r="C1070" s="12" t="s">
        <v>802</v>
      </c>
      <c r="D1070" s="12" t="s">
        <v>457</v>
      </c>
      <c r="E1070" s="12" t="s">
        <v>800</v>
      </c>
      <c r="F1070" s="12" t="s">
        <v>799</v>
      </c>
      <c r="G1070" s="55">
        <v>8150</v>
      </c>
      <c r="H1070" s="55">
        <v>8716</v>
      </c>
      <c r="I1070" s="2" t="b">
        <f t="shared" si="17"/>
        <v>0</v>
      </c>
    </row>
    <row r="1071" spans="2:9" x14ac:dyDescent="0.25">
      <c r="B1071" s="161">
        <v>40921</v>
      </c>
      <c r="C1071" s="12" t="s">
        <v>805</v>
      </c>
      <c r="D1071" s="12" t="s">
        <v>801</v>
      </c>
      <c r="E1071" s="12" t="s">
        <v>798</v>
      </c>
      <c r="F1071" s="12" t="s">
        <v>791</v>
      </c>
      <c r="G1071" s="55">
        <v>5047</v>
      </c>
      <c r="H1071" s="55">
        <v>8555</v>
      </c>
      <c r="I1071" s="2" t="b">
        <f t="shared" si="17"/>
        <v>0</v>
      </c>
    </row>
    <row r="1072" spans="2:9" x14ac:dyDescent="0.25">
      <c r="B1072" s="161">
        <v>40953</v>
      </c>
      <c r="C1072" s="12" t="s">
        <v>805</v>
      </c>
      <c r="D1072" s="12" t="s">
        <v>801</v>
      </c>
      <c r="E1072" s="12" t="s">
        <v>808</v>
      </c>
      <c r="F1072" s="12" t="s">
        <v>791</v>
      </c>
      <c r="G1072" s="55">
        <v>5434</v>
      </c>
      <c r="H1072" s="55">
        <v>7245</v>
      </c>
      <c r="I1072" s="2" t="b">
        <f t="shared" si="17"/>
        <v>0</v>
      </c>
    </row>
    <row r="1073" spans="2:9" x14ac:dyDescent="0.25">
      <c r="B1073" s="161">
        <v>41541</v>
      </c>
      <c r="C1073" s="12" t="s">
        <v>802</v>
      </c>
      <c r="D1073" s="12" t="s">
        <v>797</v>
      </c>
      <c r="E1073" s="12" t="s">
        <v>808</v>
      </c>
      <c r="F1073" s="12" t="s">
        <v>794</v>
      </c>
      <c r="G1073" s="55">
        <v>2874</v>
      </c>
      <c r="H1073" s="55">
        <v>3831</v>
      </c>
      <c r="I1073" s="2" t="b">
        <f t="shared" si="17"/>
        <v>0</v>
      </c>
    </row>
    <row r="1074" spans="2:9" x14ac:dyDescent="0.25">
      <c r="B1074" s="161">
        <v>40931</v>
      </c>
      <c r="C1074" s="12" t="s">
        <v>790</v>
      </c>
      <c r="D1074" s="12" t="s">
        <v>801</v>
      </c>
      <c r="E1074" s="12" t="s">
        <v>793</v>
      </c>
      <c r="F1074" s="12" t="s">
        <v>794</v>
      </c>
      <c r="G1074" s="55">
        <v>1701</v>
      </c>
      <c r="H1074" s="55">
        <v>1932</v>
      </c>
      <c r="I1074" s="2" t="b">
        <f t="shared" si="17"/>
        <v>0</v>
      </c>
    </row>
    <row r="1075" spans="2:9" x14ac:dyDescent="0.25">
      <c r="B1075" s="161">
        <v>41199</v>
      </c>
      <c r="C1075" s="12" t="s">
        <v>792</v>
      </c>
      <c r="D1075" s="12" t="s">
        <v>457</v>
      </c>
      <c r="E1075" s="12" t="s">
        <v>804</v>
      </c>
      <c r="F1075" s="12" t="s">
        <v>791</v>
      </c>
      <c r="G1075" s="55">
        <v>4465</v>
      </c>
      <c r="H1075" s="55">
        <v>5954</v>
      </c>
      <c r="I1075" s="2" t="b">
        <f t="shared" si="17"/>
        <v>0</v>
      </c>
    </row>
    <row r="1076" spans="2:9" x14ac:dyDescent="0.25">
      <c r="B1076" s="161">
        <v>41506</v>
      </c>
      <c r="C1076" s="12" t="s">
        <v>790</v>
      </c>
      <c r="D1076" s="12" t="s">
        <v>457</v>
      </c>
      <c r="E1076" s="12" t="s">
        <v>807</v>
      </c>
      <c r="F1076" s="12" t="s">
        <v>799</v>
      </c>
      <c r="G1076" s="55">
        <v>2736</v>
      </c>
      <c r="H1076" s="55">
        <v>4635</v>
      </c>
      <c r="I1076" s="2" t="b">
        <f t="shared" si="17"/>
        <v>0</v>
      </c>
    </row>
    <row r="1077" spans="2:9" x14ac:dyDescent="0.25">
      <c r="B1077" s="161">
        <v>41062</v>
      </c>
      <c r="C1077" s="12" t="s">
        <v>792</v>
      </c>
      <c r="D1077" s="12" t="s">
        <v>797</v>
      </c>
      <c r="E1077" s="12" t="s">
        <v>804</v>
      </c>
      <c r="F1077" s="12" t="s">
        <v>791</v>
      </c>
      <c r="G1077" s="55">
        <v>4304</v>
      </c>
      <c r="H1077" s="55">
        <v>4604</v>
      </c>
      <c r="I1077" s="2" t="b">
        <f t="shared" si="17"/>
        <v>0</v>
      </c>
    </row>
    <row r="1078" spans="2:9" x14ac:dyDescent="0.25">
      <c r="B1078" s="161">
        <v>41550</v>
      </c>
      <c r="C1078" s="12" t="s">
        <v>805</v>
      </c>
      <c r="D1078" s="12" t="s">
        <v>652</v>
      </c>
      <c r="E1078" s="12" t="s">
        <v>809</v>
      </c>
      <c r="F1078" s="12" t="s">
        <v>799</v>
      </c>
      <c r="G1078" s="55">
        <v>941</v>
      </c>
      <c r="H1078" s="55">
        <v>2186</v>
      </c>
      <c r="I1078" s="2" t="b">
        <f t="shared" si="17"/>
        <v>0</v>
      </c>
    </row>
    <row r="1079" spans="2:9" x14ac:dyDescent="0.25">
      <c r="B1079" s="161">
        <v>40912</v>
      </c>
      <c r="C1079" s="12" t="s">
        <v>805</v>
      </c>
      <c r="D1079" s="12" t="s">
        <v>797</v>
      </c>
      <c r="E1079" s="12" t="s">
        <v>807</v>
      </c>
      <c r="F1079" s="12" t="s">
        <v>794</v>
      </c>
      <c r="G1079" s="55">
        <v>3692</v>
      </c>
      <c r="H1079" s="55">
        <v>8586</v>
      </c>
      <c r="I1079" s="2" t="b">
        <f t="shared" si="17"/>
        <v>0</v>
      </c>
    </row>
    <row r="1080" spans="2:9" x14ac:dyDescent="0.25">
      <c r="B1080" s="161">
        <v>41067</v>
      </c>
      <c r="C1080" s="12" t="s">
        <v>802</v>
      </c>
      <c r="D1080" s="12" t="s">
        <v>457</v>
      </c>
      <c r="E1080" s="12" t="s">
        <v>803</v>
      </c>
      <c r="F1080" s="12" t="s">
        <v>794</v>
      </c>
      <c r="G1080" s="55">
        <v>1571</v>
      </c>
      <c r="H1080" s="55">
        <v>2661</v>
      </c>
      <c r="I1080" s="2" t="b">
        <f t="shared" si="17"/>
        <v>0</v>
      </c>
    </row>
    <row r="1081" spans="2:9" x14ac:dyDescent="0.25">
      <c r="B1081" s="161">
        <v>41597</v>
      </c>
      <c r="C1081" s="12" t="s">
        <v>790</v>
      </c>
      <c r="D1081" s="12" t="s">
        <v>797</v>
      </c>
      <c r="E1081" s="12" t="s">
        <v>487</v>
      </c>
      <c r="F1081" s="12" t="s">
        <v>791</v>
      </c>
      <c r="G1081" s="55">
        <v>1797</v>
      </c>
      <c r="H1081" s="55">
        <v>4854</v>
      </c>
      <c r="I1081" s="2" t="b">
        <f t="shared" si="17"/>
        <v>0</v>
      </c>
    </row>
    <row r="1082" spans="2:9" x14ac:dyDescent="0.25">
      <c r="B1082" s="161">
        <v>40937</v>
      </c>
      <c r="C1082" s="12" t="s">
        <v>792</v>
      </c>
      <c r="D1082" s="12" t="s">
        <v>801</v>
      </c>
      <c r="E1082" s="12" t="s">
        <v>808</v>
      </c>
      <c r="F1082" s="12" t="s">
        <v>791</v>
      </c>
      <c r="G1082" s="55">
        <v>5143</v>
      </c>
      <c r="H1082" s="55">
        <v>6857</v>
      </c>
      <c r="I1082" s="2" t="b">
        <f t="shared" si="17"/>
        <v>0</v>
      </c>
    </row>
    <row r="1083" spans="2:9" x14ac:dyDescent="0.25">
      <c r="B1083" s="161">
        <v>40961</v>
      </c>
      <c r="C1083" s="12" t="s">
        <v>790</v>
      </c>
      <c r="D1083" s="12" t="s">
        <v>797</v>
      </c>
      <c r="E1083" s="12" t="s">
        <v>793</v>
      </c>
      <c r="F1083" s="12" t="s">
        <v>794</v>
      </c>
      <c r="G1083" s="55">
        <v>284</v>
      </c>
      <c r="H1083" s="55">
        <v>304</v>
      </c>
      <c r="I1083" s="2" t="b">
        <f t="shared" si="17"/>
        <v>0</v>
      </c>
    </row>
    <row r="1084" spans="2:9" x14ac:dyDescent="0.25">
      <c r="B1084" s="161">
        <v>41210</v>
      </c>
      <c r="C1084" s="12" t="s">
        <v>805</v>
      </c>
      <c r="D1084" s="12" t="s">
        <v>797</v>
      </c>
      <c r="E1084" s="12" t="s">
        <v>809</v>
      </c>
      <c r="F1084" s="12" t="s">
        <v>794</v>
      </c>
      <c r="G1084" s="55">
        <v>749</v>
      </c>
      <c r="H1084" s="55">
        <v>1664</v>
      </c>
      <c r="I1084" s="2" t="b">
        <f t="shared" si="17"/>
        <v>0</v>
      </c>
    </row>
    <row r="1085" spans="2:9" x14ac:dyDescent="0.25">
      <c r="B1085" s="161">
        <v>41609</v>
      </c>
      <c r="C1085" s="12" t="s">
        <v>790</v>
      </c>
      <c r="D1085" s="12" t="s">
        <v>652</v>
      </c>
      <c r="E1085" s="12" t="s">
        <v>804</v>
      </c>
      <c r="F1085" s="12" t="s">
        <v>796</v>
      </c>
      <c r="G1085" s="55">
        <v>3437</v>
      </c>
      <c r="H1085" s="55">
        <v>4583</v>
      </c>
      <c r="I1085" s="2" t="b">
        <f t="shared" si="17"/>
        <v>0</v>
      </c>
    </row>
    <row r="1086" spans="2:9" x14ac:dyDescent="0.25">
      <c r="B1086" s="161">
        <v>40955</v>
      </c>
      <c r="C1086" s="12" t="s">
        <v>792</v>
      </c>
      <c r="D1086" s="12" t="s">
        <v>801</v>
      </c>
      <c r="E1086" s="12" t="s">
        <v>803</v>
      </c>
      <c r="F1086" s="12" t="s">
        <v>799</v>
      </c>
      <c r="G1086" s="55">
        <v>85</v>
      </c>
      <c r="H1086" s="55">
        <v>95</v>
      </c>
      <c r="I1086" s="2" t="b">
        <f t="shared" si="17"/>
        <v>0</v>
      </c>
    </row>
    <row r="1087" spans="2:9" x14ac:dyDescent="0.25">
      <c r="B1087" s="161">
        <v>41364</v>
      </c>
      <c r="C1087" s="12" t="s">
        <v>792</v>
      </c>
      <c r="D1087" s="12" t="s">
        <v>797</v>
      </c>
      <c r="E1087" s="12" t="s">
        <v>793</v>
      </c>
      <c r="F1087" s="12" t="s">
        <v>796</v>
      </c>
      <c r="G1087" s="55">
        <v>714</v>
      </c>
      <c r="H1087" s="55">
        <v>1050</v>
      </c>
      <c r="I1087" s="2" t="b">
        <f t="shared" si="17"/>
        <v>0</v>
      </c>
    </row>
    <row r="1088" spans="2:9" x14ac:dyDescent="0.25">
      <c r="B1088" s="161">
        <v>41636</v>
      </c>
      <c r="C1088" s="12" t="s">
        <v>792</v>
      </c>
      <c r="D1088" s="12" t="s">
        <v>801</v>
      </c>
      <c r="E1088" s="12" t="s">
        <v>808</v>
      </c>
      <c r="F1088" s="12" t="s">
        <v>791</v>
      </c>
      <c r="G1088" s="55">
        <v>2217</v>
      </c>
      <c r="H1088" s="55">
        <v>5988</v>
      </c>
      <c r="I1088" s="2" t="b">
        <f t="shared" si="17"/>
        <v>0</v>
      </c>
    </row>
    <row r="1089" spans="2:9" x14ac:dyDescent="0.25">
      <c r="B1089" s="161">
        <v>41458</v>
      </c>
      <c r="C1089" s="12" t="s">
        <v>805</v>
      </c>
      <c r="D1089" s="12" t="s">
        <v>801</v>
      </c>
      <c r="E1089" s="12" t="s">
        <v>807</v>
      </c>
      <c r="F1089" s="12" t="s">
        <v>799</v>
      </c>
      <c r="G1089" s="55">
        <v>1035</v>
      </c>
      <c r="H1089" s="55">
        <v>1783</v>
      </c>
      <c r="I1089" s="2" t="b">
        <f t="shared" si="17"/>
        <v>0</v>
      </c>
    </row>
    <row r="1090" spans="2:9" x14ac:dyDescent="0.25">
      <c r="B1090" s="161">
        <v>41586</v>
      </c>
      <c r="C1090" s="12" t="s">
        <v>792</v>
      </c>
      <c r="D1090" s="12" t="s">
        <v>457</v>
      </c>
      <c r="E1090" s="12" t="s">
        <v>807</v>
      </c>
      <c r="F1090" s="12" t="s">
        <v>796</v>
      </c>
      <c r="G1090" s="55">
        <v>3337</v>
      </c>
      <c r="H1090" s="55">
        <v>5656</v>
      </c>
      <c r="I1090" s="2" t="b">
        <f t="shared" si="17"/>
        <v>0</v>
      </c>
    </row>
    <row r="1091" spans="2:9" x14ac:dyDescent="0.25">
      <c r="B1091" s="161">
        <v>41247</v>
      </c>
      <c r="C1091" s="12" t="s">
        <v>805</v>
      </c>
      <c r="D1091" s="12" t="s">
        <v>457</v>
      </c>
      <c r="E1091" s="12" t="s">
        <v>804</v>
      </c>
      <c r="F1091" s="12" t="s">
        <v>794</v>
      </c>
      <c r="G1091" s="55">
        <v>3173</v>
      </c>
      <c r="H1091" s="55">
        <v>5377</v>
      </c>
      <c r="I1091" s="2" t="b">
        <f t="shared" si="17"/>
        <v>0</v>
      </c>
    </row>
    <row r="1092" spans="2:9" x14ac:dyDescent="0.25">
      <c r="B1092" s="161">
        <v>41622</v>
      </c>
      <c r="C1092" s="12" t="s">
        <v>790</v>
      </c>
      <c r="D1092" s="12" t="s">
        <v>457</v>
      </c>
      <c r="E1092" s="12" t="s">
        <v>803</v>
      </c>
      <c r="F1092" s="12" t="s">
        <v>799</v>
      </c>
      <c r="G1092" s="55">
        <v>4677</v>
      </c>
      <c r="H1092" s="55">
        <v>8063</v>
      </c>
      <c r="I1092" s="2" t="b">
        <f t="shared" si="17"/>
        <v>0</v>
      </c>
    </row>
    <row r="1093" spans="2:9" x14ac:dyDescent="0.25">
      <c r="B1093" s="161">
        <v>41421</v>
      </c>
      <c r="C1093" s="12" t="s">
        <v>802</v>
      </c>
      <c r="D1093" s="12" t="s">
        <v>652</v>
      </c>
      <c r="E1093" s="12" t="s">
        <v>607</v>
      </c>
      <c r="F1093" s="12" t="s">
        <v>796</v>
      </c>
      <c r="G1093" s="55">
        <v>1068</v>
      </c>
      <c r="H1093" s="55">
        <v>1810</v>
      </c>
      <c r="I1093" s="2" t="b">
        <f t="shared" si="17"/>
        <v>0</v>
      </c>
    </row>
    <row r="1094" spans="2:9" x14ac:dyDescent="0.25">
      <c r="B1094" s="161">
        <v>41427</v>
      </c>
      <c r="C1094" s="12" t="s">
        <v>790</v>
      </c>
      <c r="D1094" s="12" t="s">
        <v>652</v>
      </c>
      <c r="E1094" s="12" t="s">
        <v>800</v>
      </c>
      <c r="F1094" s="12" t="s">
        <v>799</v>
      </c>
      <c r="G1094" s="55">
        <v>6768</v>
      </c>
      <c r="H1094" s="55">
        <v>9025</v>
      </c>
      <c r="I1094" s="2" t="b">
        <f t="shared" si="17"/>
        <v>0</v>
      </c>
    </row>
    <row r="1095" spans="2:9" x14ac:dyDescent="0.25">
      <c r="B1095" s="161">
        <v>41473</v>
      </c>
      <c r="C1095" s="12" t="s">
        <v>792</v>
      </c>
      <c r="D1095" s="12" t="s">
        <v>801</v>
      </c>
      <c r="E1095" s="12" t="s">
        <v>807</v>
      </c>
      <c r="F1095" s="12" t="s">
        <v>791</v>
      </c>
      <c r="G1095" s="55">
        <v>5440</v>
      </c>
      <c r="H1095" s="55">
        <v>9889</v>
      </c>
      <c r="I1095" s="2" t="b">
        <f t="shared" ref="I1095:I1158" si="18">AND($K$9=C1095,$L$9=D1095,$M$9=F1095)</f>
        <v>0</v>
      </c>
    </row>
    <row r="1096" spans="2:9" x14ac:dyDescent="0.25">
      <c r="B1096" s="161">
        <v>41453</v>
      </c>
      <c r="C1096" s="12" t="s">
        <v>790</v>
      </c>
      <c r="D1096" s="12" t="s">
        <v>652</v>
      </c>
      <c r="E1096" s="12" t="s">
        <v>795</v>
      </c>
      <c r="F1096" s="12" t="s">
        <v>794</v>
      </c>
      <c r="G1096" s="55">
        <v>2045</v>
      </c>
      <c r="H1096" s="55">
        <v>4752</v>
      </c>
      <c r="I1096" s="2" t="b">
        <f t="shared" si="18"/>
        <v>0</v>
      </c>
    </row>
    <row r="1097" spans="2:9" x14ac:dyDescent="0.25">
      <c r="B1097" s="161">
        <v>41061</v>
      </c>
      <c r="C1097" s="12" t="s">
        <v>792</v>
      </c>
      <c r="D1097" s="12" t="s">
        <v>797</v>
      </c>
      <c r="E1097" s="12" t="s">
        <v>809</v>
      </c>
      <c r="F1097" s="12" t="s">
        <v>796</v>
      </c>
      <c r="G1097" s="55">
        <v>8347</v>
      </c>
      <c r="H1097" s="55">
        <v>8927</v>
      </c>
      <c r="I1097" s="2" t="b">
        <f t="shared" si="18"/>
        <v>0</v>
      </c>
    </row>
    <row r="1098" spans="2:9" x14ac:dyDescent="0.25">
      <c r="B1098" s="161">
        <v>41547</v>
      </c>
      <c r="C1098" s="12" t="s">
        <v>790</v>
      </c>
      <c r="D1098" s="12" t="s">
        <v>652</v>
      </c>
      <c r="E1098" s="12" t="s">
        <v>795</v>
      </c>
      <c r="F1098" s="12" t="s">
        <v>791</v>
      </c>
      <c r="G1098" s="55">
        <v>3524</v>
      </c>
      <c r="H1098" s="55">
        <v>9523</v>
      </c>
      <c r="I1098" s="2" t="b">
        <f t="shared" si="18"/>
        <v>0</v>
      </c>
    </row>
    <row r="1099" spans="2:9" x14ac:dyDescent="0.25">
      <c r="B1099" s="161">
        <v>41633</v>
      </c>
      <c r="C1099" s="12" t="s">
        <v>790</v>
      </c>
      <c r="D1099" s="12" t="s">
        <v>801</v>
      </c>
      <c r="E1099" s="12" t="s">
        <v>487</v>
      </c>
      <c r="F1099" s="12" t="s">
        <v>794</v>
      </c>
      <c r="G1099" s="55">
        <v>3107</v>
      </c>
      <c r="H1099" s="55">
        <v>4142</v>
      </c>
      <c r="I1099" s="2" t="b">
        <f t="shared" si="18"/>
        <v>0</v>
      </c>
    </row>
    <row r="1100" spans="2:9" x14ac:dyDescent="0.25">
      <c r="B1100" s="161">
        <v>41162</v>
      </c>
      <c r="C1100" s="12" t="s">
        <v>790</v>
      </c>
      <c r="D1100" s="12" t="s">
        <v>652</v>
      </c>
      <c r="E1100" s="12" t="s">
        <v>487</v>
      </c>
      <c r="F1100" s="12" t="s">
        <v>791</v>
      </c>
      <c r="G1100" s="55">
        <v>2853</v>
      </c>
      <c r="H1100" s="55">
        <v>7710</v>
      </c>
      <c r="I1100" s="2" t="b">
        <f t="shared" si="18"/>
        <v>0</v>
      </c>
    </row>
    <row r="1101" spans="2:9" x14ac:dyDescent="0.25">
      <c r="B1101" s="161">
        <v>40926</v>
      </c>
      <c r="C1101" s="12" t="s">
        <v>802</v>
      </c>
      <c r="D1101" s="12" t="s">
        <v>797</v>
      </c>
      <c r="E1101" s="12" t="s">
        <v>793</v>
      </c>
      <c r="F1101" s="12" t="s">
        <v>796</v>
      </c>
      <c r="G1101" s="55">
        <v>404</v>
      </c>
      <c r="H1101" s="55">
        <v>540</v>
      </c>
      <c r="I1101" s="2" t="b">
        <f t="shared" si="18"/>
        <v>0</v>
      </c>
    </row>
    <row r="1102" spans="2:9" x14ac:dyDescent="0.25">
      <c r="B1102" s="161">
        <v>41611</v>
      </c>
      <c r="C1102" s="12" t="s">
        <v>805</v>
      </c>
      <c r="D1102" s="12" t="s">
        <v>457</v>
      </c>
      <c r="E1102" s="12" t="s">
        <v>808</v>
      </c>
      <c r="F1102" s="12" t="s">
        <v>796</v>
      </c>
      <c r="G1102" s="55">
        <v>2651</v>
      </c>
      <c r="H1102" s="55">
        <v>6164</v>
      </c>
      <c r="I1102" s="2" t="b">
        <f t="shared" si="18"/>
        <v>0</v>
      </c>
    </row>
    <row r="1103" spans="2:9" x14ac:dyDescent="0.25">
      <c r="B1103" s="161">
        <v>41301</v>
      </c>
      <c r="C1103" s="12" t="s">
        <v>805</v>
      </c>
      <c r="D1103" s="12" t="s">
        <v>801</v>
      </c>
      <c r="E1103" s="12" t="s">
        <v>804</v>
      </c>
      <c r="F1103" s="12" t="s">
        <v>791</v>
      </c>
      <c r="G1103" s="55">
        <v>1916</v>
      </c>
      <c r="H1103" s="55">
        <v>5177</v>
      </c>
      <c r="I1103" s="2" t="b">
        <f t="shared" si="18"/>
        <v>0</v>
      </c>
    </row>
    <row r="1104" spans="2:9" x14ac:dyDescent="0.25">
      <c r="B1104" s="161">
        <v>41098</v>
      </c>
      <c r="C1104" s="12" t="s">
        <v>792</v>
      </c>
      <c r="D1104" s="12" t="s">
        <v>801</v>
      </c>
      <c r="E1104" s="12" t="s">
        <v>607</v>
      </c>
      <c r="F1104" s="12" t="s">
        <v>799</v>
      </c>
      <c r="G1104" s="55">
        <v>366</v>
      </c>
      <c r="H1104" s="55">
        <v>665</v>
      </c>
      <c r="I1104" s="2" t="b">
        <f t="shared" si="18"/>
        <v>0</v>
      </c>
    </row>
    <row r="1105" spans="2:9" x14ac:dyDescent="0.25">
      <c r="B1105" s="161">
        <v>41247</v>
      </c>
      <c r="C1105" s="12" t="s">
        <v>790</v>
      </c>
      <c r="D1105" s="12" t="s">
        <v>457</v>
      </c>
      <c r="E1105" s="12" t="s">
        <v>487</v>
      </c>
      <c r="F1105" s="12" t="s">
        <v>794</v>
      </c>
      <c r="G1105" s="55">
        <v>3908</v>
      </c>
      <c r="H1105" s="55">
        <v>8683</v>
      </c>
      <c r="I1105" s="2" t="b">
        <f t="shared" si="18"/>
        <v>0</v>
      </c>
    </row>
    <row r="1106" spans="2:9" x14ac:dyDescent="0.25">
      <c r="B1106" s="161">
        <v>41311</v>
      </c>
      <c r="C1106" s="12" t="s">
        <v>792</v>
      </c>
      <c r="D1106" s="12" t="s">
        <v>457</v>
      </c>
      <c r="E1106" s="12" t="s">
        <v>795</v>
      </c>
      <c r="F1106" s="12" t="s">
        <v>794</v>
      </c>
      <c r="G1106" s="55">
        <v>1551</v>
      </c>
      <c r="H1106" s="55">
        <v>4189</v>
      </c>
      <c r="I1106" s="2" t="b">
        <f t="shared" si="18"/>
        <v>1</v>
      </c>
    </row>
    <row r="1107" spans="2:9" x14ac:dyDescent="0.25">
      <c r="B1107" s="161">
        <v>41346</v>
      </c>
      <c r="C1107" s="12" t="s">
        <v>805</v>
      </c>
      <c r="D1107" s="12" t="s">
        <v>457</v>
      </c>
      <c r="E1107" s="12" t="s">
        <v>809</v>
      </c>
      <c r="F1107" s="12" t="s">
        <v>799</v>
      </c>
      <c r="G1107" s="55">
        <v>3606</v>
      </c>
      <c r="H1107" s="55">
        <v>6555</v>
      </c>
      <c r="I1107" s="2" t="b">
        <f t="shared" si="18"/>
        <v>0</v>
      </c>
    </row>
    <row r="1108" spans="2:9" x14ac:dyDescent="0.25">
      <c r="B1108" s="161">
        <v>41599</v>
      </c>
      <c r="C1108" s="12" t="s">
        <v>792</v>
      </c>
      <c r="D1108" s="12" t="s">
        <v>801</v>
      </c>
      <c r="E1108" s="12" t="s">
        <v>806</v>
      </c>
      <c r="F1108" s="12" t="s">
        <v>799</v>
      </c>
      <c r="G1108" s="55">
        <v>7481</v>
      </c>
      <c r="H1108" s="55">
        <v>8500</v>
      </c>
      <c r="I1108" s="2" t="b">
        <f t="shared" si="18"/>
        <v>0</v>
      </c>
    </row>
    <row r="1109" spans="2:9" x14ac:dyDescent="0.25">
      <c r="B1109" s="161">
        <v>41301</v>
      </c>
      <c r="C1109" s="12" t="s">
        <v>792</v>
      </c>
      <c r="D1109" s="12" t="s">
        <v>457</v>
      </c>
      <c r="E1109" s="12" t="s">
        <v>808</v>
      </c>
      <c r="F1109" s="12" t="s">
        <v>794</v>
      </c>
      <c r="G1109" s="55">
        <v>4696</v>
      </c>
      <c r="H1109" s="55">
        <v>6907</v>
      </c>
      <c r="I1109" s="2" t="b">
        <f t="shared" si="18"/>
        <v>1</v>
      </c>
    </row>
    <row r="1110" spans="2:9" x14ac:dyDescent="0.25">
      <c r="B1110" s="161">
        <v>41265</v>
      </c>
      <c r="C1110" s="12" t="s">
        <v>802</v>
      </c>
      <c r="D1110" s="12" t="s">
        <v>652</v>
      </c>
      <c r="E1110" s="12" t="s">
        <v>795</v>
      </c>
      <c r="F1110" s="12" t="s">
        <v>796</v>
      </c>
      <c r="G1110" s="55">
        <v>4383</v>
      </c>
      <c r="H1110" s="55">
        <v>4982</v>
      </c>
      <c r="I1110" s="2" t="b">
        <f t="shared" si="18"/>
        <v>0</v>
      </c>
    </row>
    <row r="1111" spans="2:9" x14ac:dyDescent="0.25">
      <c r="B1111" s="161">
        <v>41150</v>
      </c>
      <c r="C1111" s="12" t="s">
        <v>790</v>
      </c>
      <c r="D1111" s="12" t="s">
        <v>652</v>
      </c>
      <c r="E1111" s="12" t="s">
        <v>798</v>
      </c>
      <c r="F1111" s="12" t="s">
        <v>794</v>
      </c>
      <c r="G1111" s="55">
        <v>3888</v>
      </c>
      <c r="H1111" s="55">
        <v>5718</v>
      </c>
      <c r="I1111" s="2" t="b">
        <f t="shared" si="18"/>
        <v>0</v>
      </c>
    </row>
    <row r="1112" spans="2:9" x14ac:dyDescent="0.25">
      <c r="B1112" s="161">
        <v>41410</v>
      </c>
      <c r="C1112" s="12" t="s">
        <v>802</v>
      </c>
      <c r="D1112" s="12" t="s">
        <v>801</v>
      </c>
      <c r="E1112" s="12" t="s">
        <v>806</v>
      </c>
      <c r="F1112" s="12" t="s">
        <v>799</v>
      </c>
      <c r="G1112" s="55">
        <v>4534</v>
      </c>
      <c r="H1112" s="55">
        <v>6046</v>
      </c>
      <c r="I1112" s="2" t="b">
        <f t="shared" si="18"/>
        <v>0</v>
      </c>
    </row>
    <row r="1113" spans="2:9" x14ac:dyDescent="0.25">
      <c r="B1113" s="161">
        <v>40956</v>
      </c>
      <c r="C1113" s="12" t="s">
        <v>805</v>
      </c>
      <c r="D1113" s="12" t="s">
        <v>797</v>
      </c>
      <c r="E1113" s="12" t="s">
        <v>807</v>
      </c>
      <c r="F1113" s="12" t="s">
        <v>799</v>
      </c>
      <c r="G1113" s="55">
        <v>730</v>
      </c>
      <c r="H1113" s="55">
        <v>1696</v>
      </c>
      <c r="I1113" s="2" t="b">
        <f t="shared" si="18"/>
        <v>0</v>
      </c>
    </row>
    <row r="1114" spans="2:9" x14ac:dyDescent="0.25">
      <c r="B1114" s="161">
        <v>41201</v>
      </c>
      <c r="C1114" s="12" t="s">
        <v>792</v>
      </c>
      <c r="D1114" s="12" t="s">
        <v>652</v>
      </c>
      <c r="E1114" s="12" t="s">
        <v>808</v>
      </c>
      <c r="F1114" s="12" t="s">
        <v>796</v>
      </c>
      <c r="G1114" s="55">
        <v>3251</v>
      </c>
      <c r="H1114" s="55">
        <v>5911</v>
      </c>
      <c r="I1114" s="2" t="b">
        <f t="shared" si="18"/>
        <v>0</v>
      </c>
    </row>
    <row r="1115" spans="2:9" x14ac:dyDescent="0.25">
      <c r="B1115" s="161">
        <v>40959</v>
      </c>
      <c r="C1115" s="12" t="s">
        <v>802</v>
      </c>
      <c r="D1115" s="12" t="s">
        <v>457</v>
      </c>
      <c r="E1115" s="12" t="s">
        <v>806</v>
      </c>
      <c r="F1115" s="12" t="s">
        <v>791</v>
      </c>
      <c r="G1115" s="55">
        <v>5016</v>
      </c>
      <c r="H1115" s="55">
        <v>6686</v>
      </c>
      <c r="I1115" s="2" t="b">
        <f t="shared" si="18"/>
        <v>0</v>
      </c>
    </row>
    <row r="1116" spans="2:9" x14ac:dyDescent="0.25">
      <c r="B1116" s="161">
        <v>41072</v>
      </c>
      <c r="C1116" s="12" t="s">
        <v>790</v>
      </c>
      <c r="D1116" s="12" t="s">
        <v>652</v>
      </c>
      <c r="E1116" s="12" t="s">
        <v>607</v>
      </c>
      <c r="F1116" s="12" t="s">
        <v>796</v>
      </c>
      <c r="G1116" s="55">
        <v>2964</v>
      </c>
      <c r="H1116" s="55">
        <v>5390</v>
      </c>
      <c r="I1116" s="2" t="b">
        <f t="shared" si="18"/>
        <v>0</v>
      </c>
    </row>
    <row r="1117" spans="2:9" x14ac:dyDescent="0.25">
      <c r="B1117" s="161">
        <v>41047</v>
      </c>
      <c r="C1117" s="12" t="s">
        <v>792</v>
      </c>
      <c r="D1117" s="12" t="s">
        <v>457</v>
      </c>
      <c r="E1117" s="12" t="s">
        <v>607</v>
      </c>
      <c r="F1117" s="12" t="s">
        <v>791</v>
      </c>
      <c r="G1117" s="55">
        <v>8650</v>
      </c>
      <c r="H1117" s="55">
        <v>9251</v>
      </c>
      <c r="I1117" s="2" t="b">
        <f t="shared" si="18"/>
        <v>0</v>
      </c>
    </row>
    <row r="1118" spans="2:9" x14ac:dyDescent="0.25">
      <c r="B1118" s="161">
        <v>41023</v>
      </c>
      <c r="C1118" s="12" t="s">
        <v>792</v>
      </c>
      <c r="D1118" s="12" t="s">
        <v>652</v>
      </c>
      <c r="E1118" s="12" t="s">
        <v>807</v>
      </c>
      <c r="F1118" s="12" t="s">
        <v>796</v>
      </c>
      <c r="G1118" s="55">
        <v>2237</v>
      </c>
      <c r="H1118" s="55">
        <v>3792</v>
      </c>
      <c r="I1118" s="2" t="b">
        <f t="shared" si="18"/>
        <v>0</v>
      </c>
    </row>
    <row r="1119" spans="2:9" x14ac:dyDescent="0.25">
      <c r="B1119" s="161">
        <v>40965</v>
      </c>
      <c r="C1119" s="12" t="s">
        <v>790</v>
      </c>
      <c r="D1119" s="12" t="s">
        <v>652</v>
      </c>
      <c r="E1119" s="12" t="s">
        <v>487</v>
      </c>
      <c r="F1119" s="12" t="s">
        <v>799</v>
      </c>
      <c r="G1119" s="55">
        <v>2747</v>
      </c>
      <c r="H1119" s="55">
        <v>4039</v>
      </c>
      <c r="I1119" s="2" t="b">
        <f t="shared" si="18"/>
        <v>0</v>
      </c>
    </row>
    <row r="1120" spans="2:9" x14ac:dyDescent="0.25">
      <c r="B1120" s="161">
        <v>40990</v>
      </c>
      <c r="C1120" s="12" t="s">
        <v>792</v>
      </c>
      <c r="D1120" s="12" t="s">
        <v>797</v>
      </c>
      <c r="E1120" s="12" t="s">
        <v>795</v>
      </c>
      <c r="F1120" s="12" t="s">
        <v>794</v>
      </c>
      <c r="G1120" s="55">
        <v>2231</v>
      </c>
      <c r="H1120" s="55">
        <v>2535</v>
      </c>
      <c r="I1120" s="2" t="b">
        <f t="shared" si="18"/>
        <v>0</v>
      </c>
    </row>
    <row r="1121" spans="2:9" x14ac:dyDescent="0.25">
      <c r="B1121" s="161">
        <v>41100</v>
      </c>
      <c r="C1121" s="12" t="s">
        <v>805</v>
      </c>
      <c r="D1121" s="12" t="s">
        <v>801</v>
      </c>
      <c r="E1121" s="12" t="s">
        <v>803</v>
      </c>
      <c r="F1121" s="12" t="s">
        <v>791</v>
      </c>
      <c r="G1121" s="55">
        <v>5101</v>
      </c>
      <c r="H1121" s="55">
        <v>9274</v>
      </c>
      <c r="I1121" s="2" t="b">
        <f t="shared" si="18"/>
        <v>0</v>
      </c>
    </row>
    <row r="1122" spans="2:9" x14ac:dyDescent="0.25">
      <c r="B1122" s="161">
        <v>41434</v>
      </c>
      <c r="C1122" s="12" t="s">
        <v>790</v>
      </c>
      <c r="D1122" s="12" t="s">
        <v>797</v>
      </c>
      <c r="E1122" s="12" t="s">
        <v>806</v>
      </c>
      <c r="F1122" s="12" t="s">
        <v>799</v>
      </c>
      <c r="G1122" s="55">
        <v>3481</v>
      </c>
      <c r="H1122" s="55">
        <v>6002</v>
      </c>
      <c r="I1122" s="2" t="b">
        <f t="shared" si="18"/>
        <v>0</v>
      </c>
    </row>
    <row r="1123" spans="2:9" x14ac:dyDescent="0.25">
      <c r="B1123" s="161">
        <v>41469</v>
      </c>
      <c r="C1123" s="12" t="s">
        <v>805</v>
      </c>
      <c r="D1123" s="12" t="s">
        <v>801</v>
      </c>
      <c r="E1123" s="12" t="s">
        <v>487</v>
      </c>
      <c r="F1123" s="12" t="s">
        <v>796</v>
      </c>
      <c r="G1123" s="55">
        <v>1144</v>
      </c>
      <c r="H1123" s="55">
        <v>1971</v>
      </c>
      <c r="I1123" s="2" t="b">
        <f t="shared" si="18"/>
        <v>0</v>
      </c>
    </row>
    <row r="1124" spans="2:9" x14ac:dyDescent="0.25">
      <c r="B1124" s="161">
        <v>41581</v>
      </c>
      <c r="C1124" s="12" t="s">
        <v>790</v>
      </c>
      <c r="D1124" s="12" t="s">
        <v>797</v>
      </c>
      <c r="E1124" s="12" t="s">
        <v>806</v>
      </c>
      <c r="F1124" s="12" t="s">
        <v>796</v>
      </c>
      <c r="G1124" s="55">
        <v>1973</v>
      </c>
      <c r="H1124" s="55">
        <v>2630</v>
      </c>
      <c r="I1124" s="2" t="b">
        <f t="shared" si="18"/>
        <v>0</v>
      </c>
    </row>
    <row r="1125" spans="2:9" x14ac:dyDescent="0.25">
      <c r="B1125" s="161">
        <v>40939</v>
      </c>
      <c r="C1125" s="12" t="s">
        <v>792</v>
      </c>
      <c r="D1125" s="12" t="s">
        <v>652</v>
      </c>
      <c r="E1125" s="12" t="s">
        <v>808</v>
      </c>
      <c r="F1125" s="12" t="s">
        <v>796</v>
      </c>
      <c r="G1125" s="55">
        <v>3331</v>
      </c>
      <c r="H1125" s="55">
        <v>4899</v>
      </c>
      <c r="I1125" s="2" t="b">
        <f t="shared" si="18"/>
        <v>0</v>
      </c>
    </row>
    <row r="1126" spans="2:9" x14ac:dyDescent="0.25">
      <c r="B1126" s="161">
        <v>41470</v>
      </c>
      <c r="C1126" s="12" t="s">
        <v>790</v>
      </c>
      <c r="D1126" s="12" t="s">
        <v>797</v>
      </c>
      <c r="E1126" s="12" t="s">
        <v>800</v>
      </c>
      <c r="F1126" s="12" t="s">
        <v>794</v>
      </c>
      <c r="G1126" s="55">
        <v>4615</v>
      </c>
      <c r="H1126" s="55">
        <v>6786</v>
      </c>
      <c r="I1126" s="2" t="b">
        <f t="shared" si="18"/>
        <v>0</v>
      </c>
    </row>
    <row r="1127" spans="2:9" x14ac:dyDescent="0.25">
      <c r="B1127" s="161">
        <v>41152</v>
      </c>
      <c r="C1127" s="12" t="s">
        <v>802</v>
      </c>
      <c r="D1127" s="12" t="s">
        <v>797</v>
      </c>
      <c r="E1127" s="12" t="s">
        <v>809</v>
      </c>
      <c r="F1127" s="12" t="s">
        <v>794</v>
      </c>
      <c r="G1127" s="55">
        <v>2394</v>
      </c>
      <c r="H1127" s="55">
        <v>3521</v>
      </c>
      <c r="I1127" s="2" t="b">
        <f t="shared" si="18"/>
        <v>0</v>
      </c>
    </row>
    <row r="1128" spans="2:9" x14ac:dyDescent="0.25">
      <c r="B1128" s="161">
        <v>41433</v>
      </c>
      <c r="C1128" s="12" t="s">
        <v>790</v>
      </c>
      <c r="D1128" s="12" t="s">
        <v>801</v>
      </c>
      <c r="E1128" s="12" t="s">
        <v>793</v>
      </c>
      <c r="F1128" s="12" t="s">
        <v>796</v>
      </c>
      <c r="G1128" s="55">
        <v>4951</v>
      </c>
      <c r="H1128" s="55">
        <v>8389</v>
      </c>
      <c r="I1128" s="2" t="b">
        <f t="shared" si="18"/>
        <v>0</v>
      </c>
    </row>
    <row r="1129" spans="2:9" x14ac:dyDescent="0.25">
      <c r="B1129" s="161">
        <v>41433</v>
      </c>
      <c r="C1129" s="12" t="s">
        <v>802</v>
      </c>
      <c r="D1129" s="12" t="s">
        <v>652</v>
      </c>
      <c r="E1129" s="12" t="s">
        <v>793</v>
      </c>
      <c r="F1129" s="12" t="s">
        <v>799</v>
      </c>
      <c r="G1129" s="55">
        <v>1030</v>
      </c>
      <c r="H1129" s="55">
        <v>1874</v>
      </c>
      <c r="I1129" s="2" t="b">
        <f t="shared" si="18"/>
        <v>0</v>
      </c>
    </row>
    <row r="1130" spans="2:9" x14ac:dyDescent="0.25">
      <c r="B1130" s="161">
        <v>41424</v>
      </c>
      <c r="C1130" s="12" t="s">
        <v>790</v>
      </c>
      <c r="D1130" s="12" t="s">
        <v>801</v>
      </c>
      <c r="E1130" s="12" t="s">
        <v>793</v>
      </c>
      <c r="F1130" s="12" t="s">
        <v>794</v>
      </c>
      <c r="G1130" s="55">
        <v>1006</v>
      </c>
      <c r="H1130" s="55">
        <v>1732</v>
      </c>
      <c r="I1130" s="2" t="b">
        <f t="shared" si="18"/>
        <v>0</v>
      </c>
    </row>
    <row r="1131" spans="2:9" x14ac:dyDescent="0.25">
      <c r="B1131" s="161">
        <v>41074</v>
      </c>
      <c r="C1131" s="12" t="s">
        <v>792</v>
      </c>
      <c r="D1131" s="12" t="s">
        <v>797</v>
      </c>
      <c r="E1131" s="12" t="s">
        <v>800</v>
      </c>
      <c r="F1131" s="12" t="s">
        <v>791</v>
      </c>
      <c r="G1131" s="55">
        <v>4335</v>
      </c>
      <c r="H1131" s="55">
        <v>7880</v>
      </c>
      <c r="I1131" s="2" t="b">
        <f t="shared" si="18"/>
        <v>0</v>
      </c>
    </row>
    <row r="1132" spans="2:9" x14ac:dyDescent="0.25">
      <c r="B1132" s="161">
        <v>40926</v>
      </c>
      <c r="C1132" s="12" t="s">
        <v>805</v>
      </c>
      <c r="D1132" s="12" t="s">
        <v>457</v>
      </c>
      <c r="E1132" s="12" t="s">
        <v>809</v>
      </c>
      <c r="F1132" s="12" t="s">
        <v>794</v>
      </c>
      <c r="G1132" s="55">
        <v>3653</v>
      </c>
      <c r="H1132" s="55">
        <v>8492</v>
      </c>
      <c r="I1132" s="2" t="b">
        <f t="shared" si="18"/>
        <v>0</v>
      </c>
    </row>
    <row r="1133" spans="2:9" x14ac:dyDescent="0.25">
      <c r="B1133" s="161">
        <v>41291</v>
      </c>
      <c r="C1133" s="12" t="s">
        <v>805</v>
      </c>
      <c r="D1133" s="12" t="s">
        <v>801</v>
      </c>
      <c r="E1133" s="12" t="s">
        <v>607</v>
      </c>
      <c r="F1133" s="12" t="s">
        <v>799</v>
      </c>
      <c r="G1133" s="55">
        <v>748</v>
      </c>
      <c r="H1133" s="55">
        <v>800</v>
      </c>
      <c r="I1133" s="2" t="b">
        <f t="shared" si="18"/>
        <v>0</v>
      </c>
    </row>
    <row r="1134" spans="2:9" x14ac:dyDescent="0.25">
      <c r="B1134" s="161">
        <v>41397</v>
      </c>
      <c r="C1134" s="12" t="s">
        <v>805</v>
      </c>
      <c r="D1134" s="12" t="s">
        <v>457</v>
      </c>
      <c r="E1134" s="12" t="s">
        <v>800</v>
      </c>
      <c r="F1134" s="12" t="s">
        <v>799</v>
      </c>
      <c r="G1134" s="55">
        <v>3843</v>
      </c>
      <c r="H1134" s="55">
        <v>6514</v>
      </c>
      <c r="I1134" s="2" t="b">
        <f t="shared" si="18"/>
        <v>0</v>
      </c>
    </row>
    <row r="1135" spans="2:9" x14ac:dyDescent="0.25">
      <c r="B1135" s="161">
        <v>41489</v>
      </c>
      <c r="C1135" s="12" t="s">
        <v>805</v>
      </c>
      <c r="D1135" s="12" t="s">
        <v>457</v>
      </c>
      <c r="E1135" s="12" t="s">
        <v>793</v>
      </c>
      <c r="F1135" s="12" t="s">
        <v>796</v>
      </c>
      <c r="G1135" s="55">
        <v>3972</v>
      </c>
      <c r="H1135" s="55">
        <v>4514</v>
      </c>
      <c r="I1135" s="2" t="b">
        <f t="shared" si="18"/>
        <v>0</v>
      </c>
    </row>
    <row r="1136" spans="2:9" x14ac:dyDescent="0.25">
      <c r="B1136" s="161">
        <v>41518</v>
      </c>
      <c r="C1136" s="12" t="s">
        <v>790</v>
      </c>
      <c r="D1136" s="12" t="s">
        <v>652</v>
      </c>
      <c r="E1136" s="12" t="s">
        <v>793</v>
      </c>
      <c r="F1136" s="12" t="s">
        <v>794</v>
      </c>
      <c r="G1136" s="55">
        <v>2969</v>
      </c>
      <c r="H1136" s="55">
        <v>5119</v>
      </c>
      <c r="I1136" s="2" t="b">
        <f t="shared" si="18"/>
        <v>0</v>
      </c>
    </row>
    <row r="1137" spans="2:9" x14ac:dyDescent="0.25">
      <c r="B1137" s="161">
        <v>41477</v>
      </c>
      <c r="C1137" s="12" t="s">
        <v>805</v>
      </c>
      <c r="D1137" s="12" t="s">
        <v>652</v>
      </c>
      <c r="E1137" s="12" t="s">
        <v>800</v>
      </c>
      <c r="F1137" s="12" t="s">
        <v>794</v>
      </c>
      <c r="G1137" s="55">
        <v>3118</v>
      </c>
      <c r="H1137" s="55">
        <v>7249</v>
      </c>
      <c r="I1137" s="2" t="b">
        <f t="shared" si="18"/>
        <v>0</v>
      </c>
    </row>
    <row r="1138" spans="2:9" x14ac:dyDescent="0.25">
      <c r="B1138" s="161">
        <v>40926</v>
      </c>
      <c r="C1138" s="12" t="s">
        <v>790</v>
      </c>
      <c r="D1138" s="12" t="s">
        <v>801</v>
      </c>
      <c r="E1138" s="12" t="s">
        <v>800</v>
      </c>
      <c r="F1138" s="12" t="s">
        <v>791</v>
      </c>
      <c r="G1138" s="55">
        <v>3658</v>
      </c>
      <c r="H1138" s="55">
        <v>9886</v>
      </c>
      <c r="I1138" s="2" t="b">
        <f t="shared" si="18"/>
        <v>0</v>
      </c>
    </row>
    <row r="1139" spans="2:9" x14ac:dyDescent="0.25">
      <c r="B1139" s="161">
        <v>41615</v>
      </c>
      <c r="C1139" s="12" t="s">
        <v>790</v>
      </c>
      <c r="D1139" s="12" t="s">
        <v>801</v>
      </c>
      <c r="E1139" s="12" t="s">
        <v>803</v>
      </c>
      <c r="F1139" s="12" t="s">
        <v>796</v>
      </c>
      <c r="G1139" s="55">
        <v>2541</v>
      </c>
      <c r="H1139" s="55">
        <v>2887</v>
      </c>
      <c r="I1139" s="2" t="b">
        <f t="shared" si="18"/>
        <v>0</v>
      </c>
    </row>
    <row r="1140" spans="2:9" x14ac:dyDescent="0.25">
      <c r="B1140" s="161">
        <v>41004</v>
      </c>
      <c r="C1140" s="12" t="s">
        <v>805</v>
      </c>
      <c r="D1140" s="12" t="s">
        <v>801</v>
      </c>
      <c r="E1140" s="12" t="s">
        <v>607</v>
      </c>
      <c r="F1140" s="12" t="s">
        <v>791</v>
      </c>
      <c r="G1140" s="55">
        <v>716</v>
      </c>
      <c r="H1140" s="55">
        <v>1588</v>
      </c>
      <c r="I1140" s="2" t="b">
        <f t="shared" si="18"/>
        <v>0</v>
      </c>
    </row>
    <row r="1141" spans="2:9" x14ac:dyDescent="0.25">
      <c r="B1141" s="161">
        <v>40990</v>
      </c>
      <c r="C1141" s="12" t="s">
        <v>805</v>
      </c>
      <c r="D1141" s="12" t="s">
        <v>797</v>
      </c>
      <c r="E1141" s="12" t="s">
        <v>795</v>
      </c>
      <c r="F1141" s="12" t="s">
        <v>796</v>
      </c>
      <c r="G1141" s="55">
        <v>1549</v>
      </c>
      <c r="H1141" s="55">
        <v>2814</v>
      </c>
      <c r="I1141" s="2" t="b">
        <f t="shared" si="18"/>
        <v>0</v>
      </c>
    </row>
    <row r="1142" spans="2:9" x14ac:dyDescent="0.25">
      <c r="B1142" s="161">
        <v>41110</v>
      </c>
      <c r="C1142" s="12" t="s">
        <v>805</v>
      </c>
      <c r="D1142" s="12" t="s">
        <v>457</v>
      </c>
      <c r="E1142" s="12" t="s">
        <v>793</v>
      </c>
      <c r="F1142" s="12" t="s">
        <v>796</v>
      </c>
      <c r="G1142" s="55">
        <v>1118</v>
      </c>
      <c r="H1142" s="55">
        <v>1895</v>
      </c>
      <c r="I1142" s="2" t="b">
        <f t="shared" si="18"/>
        <v>0</v>
      </c>
    </row>
    <row r="1143" spans="2:9" x14ac:dyDescent="0.25">
      <c r="B1143" s="161">
        <v>41074</v>
      </c>
      <c r="C1143" s="12" t="s">
        <v>790</v>
      </c>
      <c r="D1143" s="12" t="s">
        <v>797</v>
      </c>
      <c r="E1143" s="12" t="s">
        <v>806</v>
      </c>
      <c r="F1143" s="12" t="s">
        <v>796</v>
      </c>
      <c r="G1143" s="55">
        <v>1234</v>
      </c>
      <c r="H1143" s="55">
        <v>2868</v>
      </c>
      <c r="I1143" s="2" t="b">
        <f t="shared" si="18"/>
        <v>0</v>
      </c>
    </row>
    <row r="1144" spans="2:9" x14ac:dyDescent="0.25">
      <c r="B1144" s="161">
        <v>41098</v>
      </c>
      <c r="C1144" s="12" t="s">
        <v>802</v>
      </c>
      <c r="D1144" s="12" t="s">
        <v>457</v>
      </c>
      <c r="E1144" s="12" t="s">
        <v>809</v>
      </c>
      <c r="F1144" s="12" t="s">
        <v>796</v>
      </c>
      <c r="G1144" s="55">
        <v>1678</v>
      </c>
      <c r="H1144" s="55">
        <v>1905</v>
      </c>
      <c r="I1144" s="2" t="b">
        <f t="shared" si="18"/>
        <v>0</v>
      </c>
    </row>
    <row r="1145" spans="2:9" x14ac:dyDescent="0.25">
      <c r="B1145" s="161">
        <v>41027</v>
      </c>
      <c r="C1145" s="12" t="s">
        <v>802</v>
      </c>
      <c r="D1145" s="12" t="s">
        <v>797</v>
      </c>
      <c r="E1145" s="12" t="s">
        <v>803</v>
      </c>
      <c r="F1145" s="12" t="s">
        <v>799</v>
      </c>
      <c r="G1145" s="55">
        <v>99</v>
      </c>
      <c r="H1145" s="55">
        <v>266</v>
      </c>
      <c r="I1145" s="2" t="b">
        <f t="shared" si="18"/>
        <v>0</v>
      </c>
    </row>
    <row r="1146" spans="2:9" x14ac:dyDescent="0.25">
      <c r="B1146" s="161">
        <v>40940</v>
      </c>
      <c r="C1146" s="12" t="s">
        <v>802</v>
      </c>
      <c r="D1146" s="12" t="s">
        <v>801</v>
      </c>
      <c r="E1146" s="12" t="s">
        <v>807</v>
      </c>
      <c r="F1146" s="12" t="s">
        <v>791</v>
      </c>
      <c r="G1146" s="55">
        <v>5842</v>
      </c>
      <c r="H1146" s="55">
        <v>8590</v>
      </c>
      <c r="I1146" s="2" t="b">
        <f t="shared" si="18"/>
        <v>0</v>
      </c>
    </row>
    <row r="1147" spans="2:9" x14ac:dyDescent="0.25">
      <c r="B1147" s="161">
        <v>41397</v>
      </c>
      <c r="C1147" s="12" t="s">
        <v>792</v>
      </c>
      <c r="D1147" s="12" t="s">
        <v>801</v>
      </c>
      <c r="E1147" s="12" t="s">
        <v>806</v>
      </c>
      <c r="F1147" s="12" t="s">
        <v>791</v>
      </c>
      <c r="G1147" s="55">
        <v>1979</v>
      </c>
      <c r="H1147" s="55">
        <v>2117</v>
      </c>
      <c r="I1147" s="2" t="b">
        <f t="shared" si="18"/>
        <v>0</v>
      </c>
    </row>
    <row r="1148" spans="2:9" x14ac:dyDescent="0.25">
      <c r="B1148" s="161">
        <v>41021</v>
      </c>
      <c r="C1148" s="12" t="s">
        <v>790</v>
      </c>
      <c r="D1148" s="12" t="s">
        <v>801</v>
      </c>
      <c r="E1148" s="12" t="s">
        <v>800</v>
      </c>
      <c r="F1148" s="12" t="s">
        <v>796</v>
      </c>
      <c r="G1148" s="55">
        <v>276</v>
      </c>
      <c r="H1148" s="55">
        <v>406</v>
      </c>
      <c r="I1148" s="2" t="b">
        <f t="shared" si="18"/>
        <v>0</v>
      </c>
    </row>
    <row r="1149" spans="2:9" x14ac:dyDescent="0.25">
      <c r="B1149" s="161">
        <v>40932</v>
      </c>
      <c r="C1149" s="12" t="s">
        <v>802</v>
      </c>
      <c r="D1149" s="12" t="s">
        <v>797</v>
      </c>
      <c r="E1149" s="12" t="s">
        <v>807</v>
      </c>
      <c r="F1149" s="12" t="s">
        <v>796</v>
      </c>
      <c r="G1149" s="55">
        <v>2304</v>
      </c>
      <c r="H1149" s="55">
        <v>3387</v>
      </c>
      <c r="I1149" s="2" t="b">
        <f t="shared" si="18"/>
        <v>0</v>
      </c>
    </row>
    <row r="1150" spans="2:9" x14ac:dyDescent="0.25">
      <c r="B1150" s="161">
        <v>41216</v>
      </c>
      <c r="C1150" s="12" t="s">
        <v>792</v>
      </c>
      <c r="D1150" s="12" t="s">
        <v>652</v>
      </c>
      <c r="E1150" s="12" t="s">
        <v>795</v>
      </c>
      <c r="F1150" s="12" t="s">
        <v>796</v>
      </c>
      <c r="G1150" s="55">
        <v>3696</v>
      </c>
      <c r="H1150" s="55">
        <v>5435</v>
      </c>
      <c r="I1150" s="2" t="b">
        <f t="shared" si="18"/>
        <v>0</v>
      </c>
    </row>
    <row r="1151" spans="2:9" x14ac:dyDescent="0.25">
      <c r="B1151" s="161">
        <v>41151</v>
      </c>
      <c r="C1151" s="12" t="s">
        <v>792</v>
      </c>
      <c r="D1151" s="12" t="s">
        <v>652</v>
      </c>
      <c r="E1151" s="12" t="s">
        <v>809</v>
      </c>
      <c r="F1151" s="12" t="s">
        <v>794</v>
      </c>
      <c r="G1151" s="55">
        <v>1507</v>
      </c>
      <c r="H1151" s="55">
        <v>3505</v>
      </c>
      <c r="I1151" s="2" t="b">
        <f t="shared" si="18"/>
        <v>0</v>
      </c>
    </row>
    <row r="1152" spans="2:9" x14ac:dyDescent="0.25">
      <c r="B1152" s="161">
        <v>41030</v>
      </c>
      <c r="C1152" s="12" t="s">
        <v>790</v>
      </c>
      <c r="D1152" s="12" t="s">
        <v>797</v>
      </c>
      <c r="E1152" s="12" t="s">
        <v>807</v>
      </c>
      <c r="F1152" s="12" t="s">
        <v>799</v>
      </c>
      <c r="G1152" s="55">
        <v>2081</v>
      </c>
      <c r="H1152" s="55">
        <v>4840</v>
      </c>
      <c r="I1152" s="2" t="b">
        <f t="shared" si="18"/>
        <v>0</v>
      </c>
    </row>
    <row r="1153" spans="2:9" x14ac:dyDescent="0.25">
      <c r="B1153" s="161">
        <v>41588</v>
      </c>
      <c r="C1153" s="12" t="s">
        <v>790</v>
      </c>
      <c r="D1153" s="12" t="s">
        <v>801</v>
      </c>
      <c r="E1153" s="12" t="s">
        <v>806</v>
      </c>
      <c r="F1153" s="12" t="s">
        <v>799</v>
      </c>
      <c r="G1153" s="55">
        <v>5468</v>
      </c>
      <c r="H1153" s="55">
        <v>9267</v>
      </c>
      <c r="I1153" s="2" t="b">
        <f t="shared" si="18"/>
        <v>0</v>
      </c>
    </row>
    <row r="1154" spans="2:9" x14ac:dyDescent="0.25">
      <c r="B1154" s="161">
        <v>41355</v>
      </c>
      <c r="C1154" s="12" t="s">
        <v>805</v>
      </c>
      <c r="D1154" s="12" t="s">
        <v>797</v>
      </c>
      <c r="E1154" s="12" t="s">
        <v>809</v>
      </c>
      <c r="F1154" s="12" t="s">
        <v>796</v>
      </c>
      <c r="G1154" s="55">
        <v>1828</v>
      </c>
      <c r="H1154" s="55">
        <v>2078</v>
      </c>
      <c r="I1154" s="2" t="b">
        <f t="shared" si="18"/>
        <v>0</v>
      </c>
    </row>
    <row r="1155" spans="2:9" x14ac:dyDescent="0.25">
      <c r="B1155" s="161">
        <v>41562</v>
      </c>
      <c r="C1155" s="12" t="s">
        <v>805</v>
      </c>
      <c r="D1155" s="12" t="s">
        <v>801</v>
      </c>
      <c r="E1155" s="12" t="s">
        <v>800</v>
      </c>
      <c r="F1155" s="12" t="s">
        <v>799</v>
      </c>
      <c r="G1155" s="55">
        <v>354</v>
      </c>
      <c r="H1155" s="55">
        <v>601</v>
      </c>
      <c r="I1155" s="2" t="b">
        <f t="shared" si="18"/>
        <v>0</v>
      </c>
    </row>
    <row r="1156" spans="2:9" x14ac:dyDescent="0.25">
      <c r="B1156" s="161">
        <v>41394</v>
      </c>
      <c r="C1156" s="12" t="s">
        <v>802</v>
      </c>
      <c r="D1156" s="12" t="s">
        <v>652</v>
      </c>
      <c r="E1156" s="12" t="s">
        <v>803</v>
      </c>
      <c r="F1156" s="12" t="s">
        <v>794</v>
      </c>
      <c r="G1156" s="55">
        <v>5034</v>
      </c>
      <c r="H1156" s="55">
        <v>5383</v>
      </c>
      <c r="I1156" s="2" t="b">
        <f t="shared" si="18"/>
        <v>0</v>
      </c>
    </row>
    <row r="1157" spans="2:9" x14ac:dyDescent="0.25">
      <c r="B1157" s="161">
        <v>41472</v>
      </c>
      <c r="C1157" s="12" t="s">
        <v>792</v>
      </c>
      <c r="D1157" s="12" t="s">
        <v>457</v>
      </c>
      <c r="E1157" s="12" t="s">
        <v>798</v>
      </c>
      <c r="F1157" s="12" t="s">
        <v>791</v>
      </c>
      <c r="G1157" s="55">
        <v>4165</v>
      </c>
      <c r="H1157" s="55">
        <v>5552</v>
      </c>
      <c r="I1157" s="2" t="b">
        <f t="shared" si="18"/>
        <v>0</v>
      </c>
    </row>
    <row r="1158" spans="2:9" x14ac:dyDescent="0.25">
      <c r="B1158" s="161">
        <v>41430</v>
      </c>
      <c r="C1158" s="12" t="s">
        <v>790</v>
      </c>
      <c r="D1158" s="12" t="s">
        <v>652</v>
      </c>
      <c r="E1158" s="12" t="s">
        <v>800</v>
      </c>
      <c r="F1158" s="12" t="s">
        <v>796</v>
      </c>
      <c r="G1158" s="55">
        <v>1757</v>
      </c>
      <c r="H1158" s="55">
        <v>2582</v>
      </c>
      <c r="I1158" s="2" t="b">
        <f t="shared" si="18"/>
        <v>0</v>
      </c>
    </row>
    <row r="1159" spans="2:9" x14ac:dyDescent="0.25">
      <c r="B1159" s="161">
        <v>41337</v>
      </c>
      <c r="C1159" s="12" t="s">
        <v>790</v>
      </c>
      <c r="D1159" s="12" t="s">
        <v>457</v>
      </c>
      <c r="E1159" s="12" t="s">
        <v>806</v>
      </c>
      <c r="F1159" s="12" t="s">
        <v>794</v>
      </c>
      <c r="G1159" s="55">
        <v>5661</v>
      </c>
      <c r="H1159" s="55">
        <v>7548</v>
      </c>
      <c r="I1159" s="2" t="b">
        <f t="shared" ref="I1159:I1222" si="19">AND($K$9=C1159,$L$9=D1159,$M$9=F1159)</f>
        <v>0</v>
      </c>
    </row>
    <row r="1160" spans="2:9" x14ac:dyDescent="0.25">
      <c r="B1160" s="161">
        <v>41298</v>
      </c>
      <c r="C1160" s="12" t="s">
        <v>792</v>
      </c>
      <c r="D1160" s="12" t="s">
        <v>652</v>
      </c>
      <c r="E1160" s="12" t="s">
        <v>807</v>
      </c>
      <c r="F1160" s="12" t="s">
        <v>791</v>
      </c>
      <c r="G1160" s="55">
        <v>4084</v>
      </c>
      <c r="H1160" s="55">
        <v>9497</v>
      </c>
      <c r="I1160" s="2" t="b">
        <f t="shared" si="19"/>
        <v>0</v>
      </c>
    </row>
    <row r="1161" spans="2:9" x14ac:dyDescent="0.25">
      <c r="B1161" s="161">
        <v>41349</v>
      </c>
      <c r="C1161" s="12" t="s">
        <v>802</v>
      </c>
      <c r="D1161" s="12" t="s">
        <v>801</v>
      </c>
      <c r="E1161" s="12" t="s">
        <v>800</v>
      </c>
      <c r="F1161" s="12" t="s">
        <v>799</v>
      </c>
      <c r="G1161" s="55">
        <v>9008</v>
      </c>
      <c r="H1161" s="55">
        <v>9633</v>
      </c>
      <c r="I1161" s="2" t="b">
        <f t="shared" si="19"/>
        <v>0</v>
      </c>
    </row>
    <row r="1162" spans="2:9" x14ac:dyDescent="0.25">
      <c r="B1162" s="161">
        <v>41192</v>
      </c>
      <c r="C1162" s="12" t="s">
        <v>802</v>
      </c>
      <c r="D1162" s="12" t="s">
        <v>652</v>
      </c>
      <c r="E1162" s="12" t="s">
        <v>607</v>
      </c>
      <c r="F1162" s="12" t="s">
        <v>791</v>
      </c>
      <c r="G1162" s="55">
        <v>3688</v>
      </c>
      <c r="H1162" s="55">
        <v>4192</v>
      </c>
      <c r="I1162" s="2" t="b">
        <f t="shared" si="19"/>
        <v>0</v>
      </c>
    </row>
    <row r="1163" spans="2:9" x14ac:dyDescent="0.25">
      <c r="B1163" s="161">
        <v>41070</v>
      </c>
      <c r="C1163" s="12" t="s">
        <v>790</v>
      </c>
      <c r="D1163" s="12" t="s">
        <v>457</v>
      </c>
      <c r="E1163" s="12" t="s">
        <v>808</v>
      </c>
      <c r="F1163" s="12" t="s">
        <v>799</v>
      </c>
      <c r="G1163" s="55">
        <v>1621</v>
      </c>
      <c r="H1163" s="55">
        <v>2160</v>
      </c>
      <c r="I1163" s="2" t="b">
        <f t="shared" si="19"/>
        <v>0</v>
      </c>
    </row>
    <row r="1164" spans="2:9" x14ac:dyDescent="0.25">
      <c r="B1164" s="161">
        <v>40934</v>
      </c>
      <c r="C1164" s="12" t="s">
        <v>790</v>
      </c>
      <c r="D1164" s="12" t="s">
        <v>801</v>
      </c>
      <c r="E1164" s="12" t="s">
        <v>793</v>
      </c>
      <c r="F1164" s="12" t="s">
        <v>799</v>
      </c>
      <c r="G1164" s="55">
        <v>3502</v>
      </c>
      <c r="H1164" s="55">
        <v>5149</v>
      </c>
      <c r="I1164" s="2" t="b">
        <f t="shared" si="19"/>
        <v>0</v>
      </c>
    </row>
    <row r="1165" spans="2:9" x14ac:dyDescent="0.25">
      <c r="B1165" s="161">
        <v>41057</v>
      </c>
      <c r="C1165" s="12" t="s">
        <v>792</v>
      </c>
      <c r="D1165" s="12" t="s">
        <v>801</v>
      </c>
      <c r="E1165" s="12" t="s">
        <v>798</v>
      </c>
      <c r="F1165" s="12" t="s">
        <v>799</v>
      </c>
      <c r="G1165" s="55">
        <v>4925</v>
      </c>
      <c r="H1165" s="55">
        <v>8953</v>
      </c>
      <c r="I1165" s="2" t="b">
        <f t="shared" si="19"/>
        <v>0</v>
      </c>
    </row>
    <row r="1166" spans="2:9" x14ac:dyDescent="0.25">
      <c r="B1166" s="161">
        <v>41009</v>
      </c>
      <c r="C1166" s="12" t="s">
        <v>805</v>
      </c>
      <c r="D1166" s="12" t="s">
        <v>457</v>
      </c>
      <c r="E1166" s="12" t="s">
        <v>807</v>
      </c>
      <c r="F1166" s="12" t="s">
        <v>799</v>
      </c>
      <c r="G1166" s="55">
        <v>2772</v>
      </c>
      <c r="H1166" s="55">
        <v>6445</v>
      </c>
      <c r="I1166" s="2" t="b">
        <f t="shared" si="19"/>
        <v>0</v>
      </c>
    </row>
    <row r="1167" spans="2:9" x14ac:dyDescent="0.25">
      <c r="B1167" s="161">
        <v>41499</v>
      </c>
      <c r="C1167" s="12" t="s">
        <v>805</v>
      </c>
      <c r="D1167" s="12" t="s">
        <v>652</v>
      </c>
      <c r="E1167" s="12" t="s">
        <v>809</v>
      </c>
      <c r="F1167" s="12" t="s">
        <v>794</v>
      </c>
      <c r="G1167" s="55">
        <v>853</v>
      </c>
      <c r="H1167" s="55">
        <v>1470</v>
      </c>
      <c r="I1167" s="2" t="b">
        <f t="shared" si="19"/>
        <v>0</v>
      </c>
    </row>
    <row r="1168" spans="2:9" x14ac:dyDescent="0.25">
      <c r="B1168" s="161">
        <v>41115</v>
      </c>
      <c r="C1168" s="12" t="s">
        <v>790</v>
      </c>
      <c r="D1168" s="12" t="s">
        <v>652</v>
      </c>
      <c r="E1168" s="12" t="s">
        <v>795</v>
      </c>
      <c r="F1168" s="12" t="s">
        <v>796</v>
      </c>
      <c r="G1168" s="55">
        <v>7401</v>
      </c>
      <c r="H1168" s="55">
        <v>9869</v>
      </c>
      <c r="I1168" s="2" t="b">
        <f t="shared" si="19"/>
        <v>0</v>
      </c>
    </row>
    <row r="1169" spans="2:9" x14ac:dyDescent="0.25">
      <c r="B1169" s="161">
        <v>41605</v>
      </c>
      <c r="C1169" s="12" t="s">
        <v>802</v>
      </c>
      <c r="D1169" s="12" t="s">
        <v>652</v>
      </c>
      <c r="E1169" s="12" t="s">
        <v>798</v>
      </c>
      <c r="F1169" s="12" t="s">
        <v>796</v>
      </c>
      <c r="G1169" s="55">
        <v>1484</v>
      </c>
      <c r="H1169" s="55">
        <v>4012</v>
      </c>
      <c r="I1169" s="2" t="b">
        <f t="shared" si="19"/>
        <v>0</v>
      </c>
    </row>
    <row r="1170" spans="2:9" x14ac:dyDescent="0.25">
      <c r="B1170" s="161">
        <v>41555</v>
      </c>
      <c r="C1170" s="12" t="s">
        <v>792</v>
      </c>
      <c r="D1170" s="12" t="s">
        <v>797</v>
      </c>
      <c r="E1170" s="12" t="s">
        <v>808</v>
      </c>
      <c r="F1170" s="12" t="s">
        <v>794</v>
      </c>
      <c r="G1170" s="55">
        <v>7751</v>
      </c>
      <c r="H1170" s="55">
        <v>8808</v>
      </c>
      <c r="I1170" s="2" t="b">
        <f t="shared" si="19"/>
        <v>0</v>
      </c>
    </row>
    <row r="1171" spans="2:9" x14ac:dyDescent="0.25">
      <c r="B1171" s="161">
        <v>41195</v>
      </c>
      <c r="C1171" s="12" t="s">
        <v>802</v>
      </c>
      <c r="D1171" s="12" t="s">
        <v>457</v>
      </c>
      <c r="E1171" s="12" t="s">
        <v>809</v>
      </c>
      <c r="F1171" s="12" t="s">
        <v>794</v>
      </c>
      <c r="G1171" s="55">
        <v>2736</v>
      </c>
      <c r="H1171" s="55">
        <v>7394</v>
      </c>
      <c r="I1171" s="2" t="b">
        <f t="shared" si="19"/>
        <v>0</v>
      </c>
    </row>
    <row r="1172" spans="2:9" x14ac:dyDescent="0.25">
      <c r="B1172" s="161">
        <v>41344</v>
      </c>
      <c r="C1172" s="12" t="s">
        <v>790</v>
      </c>
      <c r="D1172" s="12" t="s">
        <v>801</v>
      </c>
      <c r="E1172" s="12" t="s">
        <v>607</v>
      </c>
      <c r="F1172" s="12" t="s">
        <v>796</v>
      </c>
      <c r="G1172" s="55">
        <v>2598</v>
      </c>
      <c r="H1172" s="55">
        <v>4478</v>
      </c>
      <c r="I1172" s="2" t="b">
        <f t="shared" si="19"/>
        <v>0</v>
      </c>
    </row>
    <row r="1173" spans="2:9" x14ac:dyDescent="0.25">
      <c r="B1173" s="161">
        <v>41178</v>
      </c>
      <c r="C1173" s="12" t="s">
        <v>802</v>
      </c>
      <c r="D1173" s="12" t="s">
        <v>801</v>
      </c>
      <c r="E1173" s="12" t="s">
        <v>607</v>
      </c>
      <c r="F1173" s="12" t="s">
        <v>794</v>
      </c>
      <c r="G1173" s="55">
        <v>3622</v>
      </c>
      <c r="H1173" s="55">
        <v>8422</v>
      </c>
      <c r="I1173" s="2" t="b">
        <f t="shared" si="19"/>
        <v>0</v>
      </c>
    </row>
    <row r="1174" spans="2:9" x14ac:dyDescent="0.25">
      <c r="B1174" s="161">
        <v>41360</v>
      </c>
      <c r="C1174" s="12" t="s">
        <v>805</v>
      </c>
      <c r="D1174" s="12" t="s">
        <v>801</v>
      </c>
      <c r="E1174" s="12" t="s">
        <v>798</v>
      </c>
      <c r="F1174" s="12" t="s">
        <v>794</v>
      </c>
      <c r="G1174" s="55">
        <v>3378</v>
      </c>
      <c r="H1174" s="55">
        <v>5724</v>
      </c>
      <c r="I1174" s="2" t="b">
        <f t="shared" si="19"/>
        <v>0</v>
      </c>
    </row>
    <row r="1175" spans="2:9" x14ac:dyDescent="0.25">
      <c r="B1175" s="161">
        <v>41534</v>
      </c>
      <c r="C1175" s="12" t="s">
        <v>792</v>
      </c>
      <c r="D1175" s="12" t="s">
        <v>801</v>
      </c>
      <c r="E1175" s="12" t="s">
        <v>800</v>
      </c>
      <c r="F1175" s="12" t="s">
        <v>799</v>
      </c>
      <c r="G1175" s="55">
        <v>2681</v>
      </c>
      <c r="H1175" s="55">
        <v>7245</v>
      </c>
      <c r="I1175" s="2" t="b">
        <f t="shared" si="19"/>
        <v>0</v>
      </c>
    </row>
    <row r="1176" spans="2:9" x14ac:dyDescent="0.25">
      <c r="B1176" s="161">
        <v>41118</v>
      </c>
      <c r="C1176" s="12" t="s">
        <v>790</v>
      </c>
      <c r="D1176" s="12" t="s">
        <v>652</v>
      </c>
      <c r="E1176" s="12" t="s">
        <v>804</v>
      </c>
      <c r="F1176" s="12" t="s">
        <v>794</v>
      </c>
      <c r="G1176" s="55">
        <v>2898</v>
      </c>
      <c r="H1176" s="55">
        <v>6741</v>
      </c>
      <c r="I1176" s="2" t="b">
        <f t="shared" si="19"/>
        <v>0</v>
      </c>
    </row>
    <row r="1177" spans="2:9" x14ac:dyDescent="0.25">
      <c r="B1177" s="161">
        <v>40917</v>
      </c>
      <c r="C1177" s="12" t="s">
        <v>792</v>
      </c>
      <c r="D1177" s="12" t="s">
        <v>797</v>
      </c>
      <c r="E1177" s="12" t="s">
        <v>803</v>
      </c>
      <c r="F1177" s="12" t="s">
        <v>796</v>
      </c>
      <c r="G1177" s="55">
        <v>7341</v>
      </c>
      <c r="H1177" s="55">
        <v>7851</v>
      </c>
      <c r="I1177" s="2" t="b">
        <f t="shared" si="19"/>
        <v>0</v>
      </c>
    </row>
    <row r="1178" spans="2:9" x14ac:dyDescent="0.25">
      <c r="B1178" s="161">
        <v>41478</v>
      </c>
      <c r="C1178" s="12" t="s">
        <v>805</v>
      </c>
      <c r="D1178" s="12" t="s">
        <v>797</v>
      </c>
      <c r="E1178" s="12" t="s">
        <v>803</v>
      </c>
      <c r="F1178" s="12" t="s">
        <v>799</v>
      </c>
      <c r="G1178" s="55">
        <v>1153</v>
      </c>
      <c r="H1178" s="55">
        <v>3114</v>
      </c>
      <c r="I1178" s="2" t="b">
        <f t="shared" si="19"/>
        <v>0</v>
      </c>
    </row>
    <row r="1179" spans="2:9" x14ac:dyDescent="0.25">
      <c r="B1179" s="161">
        <v>41279</v>
      </c>
      <c r="C1179" s="12" t="s">
        <v>802</v>
      </c>
      <c r="D1179" s="12" t="s">
        <v>652</v>
      </c>
      <c r="E1179" s="12" t="s">
        <v>487</v>
      </c>
      <c r="F1179" s="12" t="s">
        <v>796</v>
      </c>
      <c r="G1179" s="55">
        <v>5673</v>
      </c>
      <c r="H1179" s="55">
        <v>9614</v>
      </c>
      <c r="I1179" s="2" t="b">
        <f t="shared" si="19"/>
        <v>0</v>
      </c>
    </row>
    <row r="1180" spans="2:9" x14ac:dyDescent="0.25">
      <c r="B1180" s="161">
        <v>41012</v>
      </c>
      <c r="C1180" s="12" t="s">
        <v>805</v>
      </c>
      <c r="D1180" s="12" t="s">
        <v>797</v>
      </c>
      <c r="E1180" s="12" t="s">
        <v>607</v>
      </c>
      <c r="F1180" s="12" t="s">
        <v>799</v>
      </c>
      <c r="G1180" s="55">
        <v>5417</v>
      </c>
      <c r="H1180" s="55">
        <v>5794</v>
      </c>
      <c r="I1180" s="2" t="b">
        <f t="shared" si="19"/>
        <v>0</v>
      </c>
    </row>
    <row r="1181" spans="2:9" x14ac:dyDescent="0.25">
      <c r="B1181" s="161">
        <v>41420</v>
      </c>
      <c r="C1181" s="12" t="s">
        <v>802</v>
      </c>
      <c r="D1181" s="12" t="s">
        <v>801</v>
      </c>
      <c r="E1181" s="12" t="s">
        <v>607</v>
      </c>
      <c r="F1181" s="12" t="s">
        <v>799</v>
      </c>
      <c r="G1181" s="55">
        <v>196</v>
      </c>
      <c r="H1181" s="55">
        <v>354</v>
      </c>
      <c r="I1181" s="2" t="b">
        <f t="shared" si="19"/>
        <v>0</v>
      </c>
    </row>
    <row r="1182" spans="2:9" x14ac:dyDescent="0.25">
      <c r="B1182" s="161">
        <v>41443</v>
      </c>
      <c r="C1182" s="12" t="s">
        <v>805</v>
      </c>
      <c r="D1182" s="12" t="s">
        <v>652</v>
      </c>
      <c r="E1182" s="12" t="s">
        <v>798</v>
      </c>
      <c r="F1182" s="12" t="s">
        <v>791</v>
      </c>
      <c r="G1182" s="55">
        <v>4302</v>
      </c>
      <c r="H1182" s="55">
        <v>9560</v>
      </c>
      <c r="I1182" s="2" t="b">
        <f t="shared" si="19"/>
        <v>0</v>
      </c>
    </row>
    <row r="1183" spans="2:9" x14ac:dyDescent="0.25">
      <c r="B1183" s="161">
        <v>41472</v>
      </c>
      <c r="C1183" s="12" t="s">
        <v>790</v>
      </c>
      <c r="D1183" s="12" t="s">
        <v>652</v>
      </c>
      <c r="E1183" s="12" t="s">
        <v>808</v>
      </c>
      <c r="F1183" s="12" t="s">
        <v>799</v>
      </c>
      <c r="G1183" s="55">
        <v>1870</v>
      </c>
      <c r="H1183" s="55">
        <v>5054</v>
      </c>
      <c r="I1183" s="2" t="b">
        <f t="shared" si="19"/>
        <v>0</v>
      </c>
    </row>
    <row r="1184" spans="2:9" x14ac:dyDescent="0.25">
      <c r="B1184" s="161">
        <v>41121</v>
      </c>
      <c r="C1184" s="12" t="s">
        <v>790</v>
      </c>
      <c r="D1184" s="12" t="s">
        <v>457</v>
      </c>
      <c r="E1184" s="12" t="s">
        <v>808</v>
      </c>
      <c r="F1184" s="12" t="s">
        <v>799</v>
      </c>
      <c r="G1184" s="55">
        <v>6526</v>
      </c>
      <c r="H1184" s="55">
        <v>7416</v>
      </c>
      <c r="I1184" s="2" t="b">
        <f t="shared" si="19"/>
        <v>0</v>
      </c>
    </row>
    <row r="1185" spans="2:9" x14ac:dyDescent="0.25">
      <c r="B1185" s="161">
        <v>41376</v>
      </c>
      <c r="C1185" s="12" t="s">
        <v>805</v>
      </c>
      <c r="D1185" s="12" t="s">
        <v>652</v>
      </c>
      <c r="E1185" s="12" t="s">
        <v>809</v>
      </c>
      <c r="F1185" s="12" t="s">
        <v>794</v>
      </c>
      <c r="G1185" s="55">
        <v>7062</v>
      </c>
      <c r="H1185" s="55">
        <v>7552</v>
      </c>
      <c r="I1185" s="2" t="b">
        <f t="shared" si="19"/>
        <v>0</v>
      </c>
    </row>
    <row r="1186" spans="2:9" x14ac:dyDescent="0.25">
      <c r="B1186" s="161">
        <v>41564</v>
      </c>
      <c r="C1186" s="12" t="s">
        <v>792</v>
      </c>
      <c r="D1186" s="12" t="s">
        <v>457</v>
      </c>
      <c r="E1186" s="12" t="s">
        <v>798</v>
      </c>
      <c r="F1186" s="12" t="s">
        <v>791</v>
      </c>
      <c r="G1186" s="55">
        <v>4016</v>
      </c>
      <c r="H1186" s="55">
        <v>6923</v>
      </c>
      <c r="I1186" s="2" t="b">
        <f t="shared" si="19"/>
        <v>0</v>
      </c>
    </row>
    <row r="1187" spans="2:9" x14ac:dyDescent="0.25">
      <c r="B1187" s="161">
        <v>41229</v>
      </c>
      <c r="C1187" s="12" t="s">
        <v>792</v>
      </c>
      <c r="D1187" s="12" t="s">
        <v>652</v>
      </c>
      <c r="E1187" s="12" t="s">
        <v>800</v>
      </c>
      <c r="F1187" s="12" t="s">
        <v>794</v>
      </c>
      <c r="G1187" s="55">
        <v>3607</v>
      </c>
      <c r="H1187" s="55">
        <v>9748</v>
      </c>
      <c r="I1187" s="2" t="b">
        <f t="shared" si="19"/>
        <v>0</v>
      </c>
    </row>
    <row r="1188" spans="2:9" x14ac:dyDescent="0.25">
      <c r="B1188" s="161">
        <v>41571</v>
      </c>
      <c r="C1188" s="12" t="s">
        <v>802</v>
      </c>
      <c r="D1188" s="12" t="s">
        <v>797</v>
      </c>
      <c r="E1188" s="12" t="s">
        <v>803</v>
      </c>
      <c r="F1188" s="12" t="s">
        <v>799</v>
      </c>
      <c r="G1188" s="55">
        <v>3076</v>
      </c>
      <c r="H1188" s="55">
        <v>8310</v>
      </c>
      <c r="I1188" s="2" t="b">
        <f t="shared" si="19"/>
        <v>0</v>
      </c>
    </row>
    <row r="1189" spans="2:9" x14ac:dyDescent="0.25">
      <c r="B1189" s="161">
        <v>40932</v>
      </c>
      <c r="C1189" s="12" t="s">
        <v>802</v>
      </c>
      <c r="D1189" s="12" t="s">
        <v>457</v>
      </c>
      <c r="E1189" s="12" t="s">
        <v>803</v>
      </c>
      <c r="F1189" s="12" t="s">
        <v>791</v>
      </c>
      <c r="G1189" s="55">
        <v>7775</v>
      </c>
      <c r="H1189" s="55">
        <v>8315</v>
      </c>
      <c r="I1189" s="2" t="b">
        <f t="shared" si="19"/>
        <v>0</v>
      </c>
    </row>
    <row r="1190" spans="2:9" x14ac:dyDescent="0.25">
      <c r="B1190" s="161">
        <v>41334</v>
      </c>
      <c r="C1190" s="12" t="s">
        <v>792</v>
      </c>
      <c r="D1190" s="12" t="s">
        <v>801</v>
      </c>
      <c r="E1190" s="12" t="s">
        <v>809</v>
      </c>
      <c r="F1190" s="12" t="s">
        <v>796</v>
      </c>
      <c r="G1190" s="55">
        <v>1364</v>
      </c>
      <c r="H1190" s="55">
        <v>2006</v>
      </c>
      <c r="I1190" s="2" t="b">
        <f t="shared" si="19"/>
        <v>0</v>
      </c>
    </row>
    <row r="1191" spans="2:9" x14ac:dyDescent="0.25">
      <c r="B1191" s="161">
        <v>41112</v>
      </c>
      <c r="C1191" s="12" t="s">
        <v>790</v>
      </c>
      <c r="D1191" s="12" t="s">
        <v>652</v>
      </c>
      <c r="E1191" s="12" t="s">
        <v>803</v>
      </c>
      <c r="F1191" s="12" t="s">
        <v>794</v>
      </c>
      <c r="G1191" s="55">
        <v>3982</v>
      </c>
      <c r="H1191" s="55">
        <v>9262</v>
      </c>
      <c r="I1191" s="2" t="b">
        <f t="shared" si="19"/>
        <v>0</v>
      </c>
    </row>
    <row r="1192" spans="2:9" x14ac:dyDescent="0.25">
      <c r="B1192" s="161">
        <v>41577</v>
      </c>
      <c r="C1192" s="12" t="s">
        <v>805</v>
      </c>
      <c r="D1192" s="12" t="s">
        <v>797</v>
      </c>
      <c r="E1192" s="12" t="s">
        <v>798</v>
      </c>
      <c r="F1192" s="12" t="s">
        <v>796</v>
      </c>
      <c r="G1192" s="55">
        <v>4457</v>
      </c>
      <c r="H1192" s="55">
        <v>7685</v>
      </c>
      <c r="I1192" s="2" t="b">
        <f t="shared" si="19"/>
        <v>0</v>
      </c>
    </row>
    <row r="1193" spans="2:9" x14ac:dyDescent="0.25">
      <c r="B1193" s="161">
        <v>41547</v>
      </c>
      <c r="C1193" s="12" t="s">
        <v>805</v>
      </c>
      <c r="D1193" s="12" t="s">
        <v>457</v>
      </c>
      <c r="E1193" s="12" t="s">
        <v>607</v>
      </c>
      <c r="F1193" s="12" t="s">
        <v>796</v>
      </c>
      <c r="G1193" s="55">
        <v>5506</v>
      </c>
      <c r="H1193" s="55">
        <v>9493</v>
      </c>
      <c r="I1193" s="2" t="b">
        <f t="shared" si="19"/>
        <v>0</v>
      </c>
    </row>
    <row r="1194" spans="2:9" x14ac:dyDescent="0.25">
      <c r="B1194" s="161">
        <v>40917</v>
      </c>
      <c r="C1194" s="12" t="s">
        <v>802</v>
      </c>
      <c r="D1194" s="12" t="s">
        <v>652</v>
      </c>
      <c r="E1194" s="12" t="s">
        <v>793</v>
      </c>
      <c r="F1194" s="12" t="s">
        <v>794</v>
      </c>
      <c r="G1194" s="55">
        <v>8207</v>
      </c>
      <c r="H1194" s="55">
        <v>8778</v>
      </c>
      <c r="I1194" s="2" t="b">
        <f t="shared" si="19"/>
        <v>0</v>
      </c>
    </row>
    <row r="1195" spans="2:9" x14ac:dyDescent="0.25">
      <c r="B1195" s="161">
        <v>41180</v>
      </c>
      <c r="C1195" s="12" t="s">
        <v>805</v>
      </c>
      <c r="D1195" s="12" t="s">
        <v>457</v>
      </c>
      <c r="E1195" s="12" t="s">
        <v>607</v>
      </c>
      <c r="F1195" s="12" t="s">
        <v>791</v>
      </c>
      <c r="G1195" s="55">
        <v>1583</v>
      </c>
      <c r="H1195" s="55">
        <v>2329</v>
      </c>
      <c r="I1195" s="2" t="b">
        <f t="shared" si="19"/>
        <v>0</v>
      </c>
    </row>
    <row r="1196" spans="2:9" x14ac:dyDescent="0.25">
      <c r="B1196" s="161">
        <v>41336</v>
      </c>
      <c r="C1196" s="12" t="s">
        <v>805</v>
      </c>
      <c r="D1196" s="12" t="s">
        <v>801</v>
      </c>
      <c r="E1196" s="12" t="s">
        <v>804</v>
      </c>
      <c r="F1196" s="12" t="s">
        <v>799</v>
      </c>
      <c r="G1196" s="55">
        <v>428</v>
      </c>
      <c r="H1196" s="55">
        <v>738</v>
      </c>
      <c r="I1196" s="2" t="b">
        <f t="shared" si="19"/>
        <v>0</v>
      </c>
    </row>
    <row r="1197" spans="2:9" x14ac:dyDescent="0.25">
      <c r="B1197" s="161">
        <v>41464</v>
      </c>
      <c r="C1197" s="12" t="s">
        <v>790</v>
      </c>
      <c r="D1197" s="12" t="s">
        <v>457</v>
      </c>
      <c r="E1197" s="12" t="s">
        <v>793</v>
      </c>
      <c r="F1197" s="12" t="s">
        <v>796</v>
      </c>
      <c r="G1197" s="55">
        <v>3035</v>
      </c>
      <c r="H1197" s="55">
        <v>8202</v>
      </c>
      <c r="I1197" s="2" t="b">
        <f t="shared" si="19"/>
        <v>0</v>
      </c>
    </row>
    <row r="1198" spans="2:9" x14ac:dyDescent="0.25">
      <c r="B1198" s="161">
        <v>41296</v>
      </c>
      <c r="C1198" s="12" t="s">
        <v>802</v>
      </c>
      <c r="D1198" s="12" t="s">
        <v>457</v>
      </c>
      <c r="E1198" s="12" t="s">
        <v>793</v>
      </c>
      <c r="F1198" s="12" t="s">
        <v>799</v>
      </c>
      <c r="G1198" s="55">
        <v>4518</v>
      </c>
      <c r="H1198" s="55">
        <v>6644</v>
      </c>
      <c r="I1198" s="2" t="b">
        <f t="shared" si="19"/>
        <v>0</v>
      </c>
    </row>
    <row r="1199" spans="2:9" x14ac:dyDescent="0.25">
      <c r="B1199" s="161">
        <v>41597</v>
      </c>
      <c r="C1199" s="12" t="s">
        <v>802</v>
      </c>
      <c r="D1199" s="12" t="s">
        <v>797</v>
      </c>
      <c r="E1199" s="12" t="s">
        <v>806</v>
      </c>
      <c r="F1199" s="12" t="s">
        <v>799</v>
      </c>
      <c r="G1199" s="55">
        <v>5562</v>
      </c>
      <c r="H1199" s="55">
        <v>5949</v>
      </c>
      <c r="I1199" s="2" t="b">
        <f t="shared" si="19"/>
        <v>0</v>
      </c>
    </row>
    <row r="1200" spans="2:9" x14ac:dyDescent="0.25">
      <c r="B1200" s="161">
        <v>41098</v>
      </c>
      <c r="C1200" s="12" t="s">
        <v>805</v>
      </c>
      <c r="D1200" s="12" t="s">
        <v>801</v>
      </c>
      <c r="E1200" s="12" t="s">
        <v>808</v>
      </c>
      <c r="F1200" s="12" t="s">
        <v>796</v>
      </c>
      <c r="G1200" s="55">
        <v>5693</v>
      </c>
      <c r="H1200" s="55">
        <v>9813</v>
      </c>
      <c r="I1200" s="2" t="b">
        <f t="shared" si="19"/>
        <v>0</v>
      </c>
    </row>
    <row r="1201" spans="2:9" x14ac:dyDescent="0.25">
      <c r="B1201" s="161">
        <v>41159</v>
      </c>
      <c r="C1201" s="12" t="s">
        <v>802</v>
      </c>
      <c r="D1201" s="12" t="s">
        <v>652</v>
      </c>
      <c r="E1201" s="12" t="s">
        <v>800</v>
      </c>
      <c r="F1201" s="12" t="s">
        <v>791</v>
      </c>
      <c r="G1201" s="55">
        <v>3498</v>
      </c>
      <c r="H1201" s="55">
        <v>8136</v>
      </c>
      <c r="I1201" s="2" t="b">
        <f t="shared" si="19"/>
        <v>0</v>
      </c>
    </row>
    <row r="1202" spans="2:9" x14ac:dyDescent="0.25">
      <c r="B1202" s="161">
        <v>41408</v>
      </c>
      <c r="C1202" s="12" t="s">
        <v>805</v>
      </c>
      <c r="D1202" s="12" t="s">
        <v>801</v>
      </c>
      <c r="E1202" s="12" t="s">
        <v>607</v>
      </c>
      <c r="F1202" s="12" t="s">
        <v>791</v>
      </c>
      <c r="G1202" s="55">
        <v>4813</v>
      </c>
      <c r="H1202" s="55">
        <v>8296</v>
      </c>
      <c r="I1202" s="2" t="b">
        <f t="shared" si="19"/>
        <v>0</v>
      </c>
    </row>
    <row r="1203" spans="2:9" x14ac:dyDescent="0.25">
      <c r="B1203" s="161">
        <v>41579</v>
      </c>
      <c r="C1203" s="12" t="s">
        <v>805</v>
      </c>
      <c r="D1203" s="12" t="s">
        <v>797</v>
      </c>
      <c r="E1203" s="12" t="s">
        <v>800</v>
      </c>
      <c r="F1203" s="12" t="s">
        <v>794</v>
      </c>
      <c r="G1203" s="55">
        <v>42</v>
      </c>
      <c r="H1203" s="55">
        <v>62</v>
      </c>
      <c r="I1203" s="2" t="b">
        <f t="shared" si="19"/>
        <v>0</v>
      </c>
    </row>
    <row r="1204" spans="2:9" x14ac:dyDescent="0.25">
      <c r="B1204" s="161">
        <v>41395</v>
      </c>
      <c r="C1204" s="12" t="s">
        <v>805</v>
      </c>
      <c r="D1204" s="12" t="s">
        <v>652</v>
      </c>
      <c r="E1204" s="12" t="s">
        <v>793</v>
      </c>
      <c r="F1204" s="12" t="s">
        <v>794</v>
      </c>
      <c r="G1204" s="55">
        <v>3364</v>
      </c>
      <c r="H1204" s="55">
        <v>7477</v>
      </c>
      <c r="I1204" s="2" t="b">
        <f t="shared" si="19"/>
        <v>0</v>
      </c>
    </row>
    <row r="1205" spans="2:9" x14ac:dyDescent="0.25">
      <c r="B1205" s="161">
        <v>41237</v>
      </c>
      <c r="C1205" s="12" t="s">
        <v>802</v>
      </c>
      <c r="D1205" s="12" t="s">
        <v>801</v>
      </c>
      <c r="E1205" s="12" t="s">
        <v>793</v>
      </c>
      <c r="F1205" s="12" t="s">
        <v>799</v>
      </c>
      <c r="G1205" s="55">
        <v>2267</v>
      </c>
      <c r="H1205" s="55">
        <v>4120</v>
      </c>
      <c r="I1205" s="2" t="b">
        <f t="shared" si="19"/>
        <v>0</v>
      </c>
    </row>
    <row r="1206" spans="2:9" x14ac:dyDescent="0.25">
      <c r="B1206" s="161">
        <v>41369</v>
      </c>
      <c r="C1206" s="12" t="s">
        <v>792</v>
      </c>
      <c r="D1206" s="12" t="s">
        <v>797</v>
      </c>
      <c r="E1206" s="12" t="s">
        <v>804</v>
      </c>
      <c r="F1206" s="12" t="s">
        <v>796</v>
      </c>
      <c r="G1206" s="55">
        <v>4595</v>
      </c>
      <c r="H1206" s="55">
        <v>6755</v>
      </c>
      <c r="I1206" s="2" t="b">
        <f t="shared" si="19"/>
        <v>0</v>
      </c>
    </row>
    <row r="1207" spans="2:9" x14ac:dyDescent="0.25">
      <c r="B1207" s="161">
        <v>41465</v>
      </c>
      <c r="C1207" s="12" t="s">
        <v>790</v>
      </c>
      <c r="D1207" s="12" t="s">
        <v>801</v>
      </c>
      <c r="E1207" s="12" t="s">
        <v>798</v>
      </c>
      <c r="F1207" s="12" t="s">
        <v>794</v>
      </c>
      <c r="G1207" s="55">
        <v>8429</v>
      </c>
      <c r="H1207" s="55">
        <v>9580</v>
      </c>
      <c r="I1207" s="2" t="b">
        <f t="shared" si="19"/>
        <v>0</v>
      </c>
    </row>
    <row r="1208" spans="2:9" x14ac:dyDescent="0.25">
      <c r="B1208" s="161">
        <v>41262</v>
      </c>
      <c r="C1208" s="12" t="s">
        <v>805</v>
      </c>
      <c r="D1208" s="12" t="s">
        <v>801</v>
      </c>
      <c r="E1208" s="12" t="s">
        <v>808</v>
      </c>
      <c r="F1208" s="12" t="s">
        <v>799</v>
      </c>
      <c r="G1208" s="55">
        <v>1620</v>
      </c>
      <c r="H1208" s="55">
        <v>2944</v>
      </c>
      <c r="I1208" s="2" t="b">
        <f t="shared" si="19"/>
        <v>0</v>
      </c>
    </row>
    <row r="1209" spans="2:9" x14ac:dyDescent="0.25">
      <c r="B1209" s="161">
        <v>41452</v>
      </c>
      <c r="C1209" s="12" t="s">
        <v>790</v>
      </c>
      <c r="D1209" s="12" t="s">
        <v>801</v>
      </c>
      <c r="E1209" s="12" t="s">
        <v>487</v>
      </c>
      <c r="F1209" s="12" t="s">
        <v>794</v>
      </c>
      <c r="G1209" s="55">
        <v>1990</v>
      </c>
      <c r="H1209" s="55">
        <v>5379</v>
      </c>
      <c r="I1209" s="2" t="b">
        <f t="shared" si="19"/>
        <v>0</v>
      </c>
    </row>
    <row r="1210" spans="2:9" x14ac:dyDescent="0.25">
      <c r="B1210" s="161">
        <v>41334</v>
      </c>
      <c r="C1210" s="12" t="s">
        <v>790</v>
      </c>
      <c r="D1210" s="12" t="s">
        <v>652</v>
      </c>
      <c r="E1210" s="12" t="s">
        <v>806</v>
      </c>
      <c r="F1210" s="12" t="s">
        <v>799</v>
      </c>
      <c r="G1210" s="55">
        <v>5673</v>
      </c>
      <c r="H1210" s="55">
        <v>7564</v>
      </c>
      <c r="I1210" s="2" t="b">
        <f t="shared" si="19"/>
        <v>0</v>
      </c>
    </row>
    <row r="1211" spans="2:9" x14ac:dyDescent="0.25">
      <c r="B1211" s="161">
        <v>41152</v>
      </c>
      <c r="C1211" s="12" t="s">
        <v>805</v>
      </c>
      <c r="D1211" s="12" t="s">
        <v>801</v>
      </c>
      <c r="E1211" s="12" t="s">
        <v>607</v>
      </c>
      <c r="F1211" s="12" t="s">
        <v>796</v>
      </c>
      <c r="G1211" s="55">
        <v>5804</v>
      </c>
      <c r="H1211" s="55">
        <v>9836</v>
      </c>
      <c r="I1211" s="2" t="b">
        <f t="shared" si="19"/>
        <v>0</v>
      </c>
    </row>
    <row r="1212" spans="2:9" x14ac:dyDescent="0.25">
      <c r="B1212" s="161">
        <v>41272</v>
      </c>
      <c r="C1212" s="12" t="s">
        <v>790</v>
      </c>
      <c r="D1212" s="12" t="s">
        <v>457</v>
      </c>
      <c r="E1212" s="12" t="s">
        <v>804</v>
      </c>
      <c r="F1212" s="12" t="s">
        <v>791</v>
      </c>
      <c r="G1212" s="55">
        <v>14</v>
      </c>
      <c r="H1212" s="55">
        <v>32</v>
      </c>
      <c r="I1212" s="2" t="b">
        <f t="shared" si="19"/>
        <v>0</v>
      </c>
    </row>
    <row r="1213" spans="2:9" x14ac:dyDescent="0.25">
      <c r="B1213" s="161">
        <v>41568</v>
      </c>
      <c r="C1213" s="12" t="s">
        <v>805</v>
      </c>
      <c r="D1213" s="12" t="s">
        <v>457</v>
      </c>
      <c r="E1213" s="12" t="s">
        <v>487</v>
      </c>
      <c r="F1213" s="12" t="s">
        <v>796</v>
      </c>
      <c r="G1213" s="55">
        <v>5843</v>
      </c>
      <c r="H1213" s="55">
        <v>8592</v>
      </c>
      <c r="I1213" s="2" t="b">
        <f t="shared" si="19"/>
        <v>0</v>
      </c>
    </row>
    <row r="1214" spans="2:9" x14ac:dyDescent="0.25">
      <c r="B1214" s="161">
        <v>41264</v>
      </c>
      <c r="C1214" s="12" t="s">
        <v>805</v>
      </c>
      <c r="D1214" s="12" t="s">
        <v>457</v>
      </c>
      <c r="E1214" s="12" t="s">
        <v>793</v>
      </c>
      <c r="F1214" s="12" t="s">
        <v>791</v>
      </c>
      <c r="G1214" s="55">
        <v>2034</v>
      </c>
      <c r="H1214" s="55">
        <v>5495</v>
      </c>
      <c r="I1214" s="2" t="b">
        <f t="shared" si="19"/>
        <v>0</v>
      </c>
    </row>
    <row r="1215" spans="2:9" x14ac:dyDescent="0.25">
      <c r="B1215" s="161">
        <v>41003</v>
      </c>
      <c r="C1215" s="12" t="s">
        <v>792</v>
      </c>
      <c r="D1215" s="12" t="s">
        <v>801</v>
      </c>
      <c r="E1215" s="12" t="s">
        <v>808</v>
      </c>
      <c r="F1215" s="12" t="s">
        <v>799</v>
      </c>
      <c r="G1215" s="55">
        <v>5898</v>
      </c>
      <c r="H1215" s="55">
        <v>6702</v>
      </c>
      <c r="I1215" s="2" t="b">
        <f t="shared" si="19"/>
        <v>0</v>
      </c>
    </row>
    <row r="1216" spans="2:9" x14ac:dyDescent="0.25">
      <c r="B1216" s="161">
        <v>41629</v>
      </c>
      <c r="C1216" s="12" t="s">
        <v>802</v>
      </c>
      <c r="D1216" s="12" t="s">
        <v>797</v>
      </c>
      <c r="E1216" s="12" t="s">
        <v>798</v>
      </c>
      <c r="F1216" s="12" t="s">
        <v>791</v>
      </c>
      <c r="G1216" s="55">
        <v>2434</v>
      </c>
      <c r="H1216" s="55">
        <v>6576</v>
      </c>
      <c r="I1216" s="2" t="b">
        <f t="shared" si="19"/>
        <v>0</v>
      </c>
    </row>
    <row r="1217" spans="2:9" x14ac:dyDescent="0.25">
      <c r="B1217" s="161">
        <v>41405</v>
      </c>
      <c r="C1217" s="12" t="s">
        <v>792</v>
      </c>
      <c r="D1217" s="12" t="s">
        <v>652</v>
      </c>
      <c r="E1217" s="12" t="s">
        <v>806</v>
      </c>
      <c r="F1217" s="12" t="s">
        <v>796</v>
      </c>
      <c r="G1217" s="55">
        <v>2294</v>
      </c>
      <c r="H1217" s="55">
        <v>3059</v>
      </c>
      <c r="I1217" s="2" t="b">
        <f t="shared" si="19"/>
        <v>0</v>
      </c>
    </row>
    <row r="1218" spans="2:9" x14ac:dyDescent="0.25">
      <c r="B1218" s="161">
        <v>40937</v>
      </c>
      <c r="C1218" s="12" t="s">
        <v>790</v>
      </c>
      <c r="D1218" s="12" t="s">
        <v>457</v>
      </c>
      <c r="E1218" s="12" t="s">
        <v>607</v>
      </c>
      <c r="F1218" s="12" t="s">
        <v>791</v>
      </c>
      <c r="G1218" s="55">
        <v>186</v>
      </c>
      <c r="H1218" s="55">
        <v>274</v>
      </c>
      <c r="I1218" s="2" t="b">
        <f t="shared" si="19"/>
        <v>0</v>
      </c>
    </row>
    <row r="1219" spans="2:9" x14ac:dyDescent="0.25">
      <c r="B1219" s="161">
        <v>41248</v>
      </c>
      <c r="C1219" s="12" t="s">
        <v>792</v>
      </c>
      <c r="D1219" s="12" t="s">
        <v>457</v>
      </c>
      <c r="E1219" s="12" t="s">
        <v>800</v>
      </c>
      <c r="F1219" s="12" t="s">
        <v>796</v>
      </c>
      <c r="G1219" s="55">
        <v>853</v>
      </c>
      <c r="H1219" s="55">
        <v>2303</v>
      </c>
      <c r="I1219" s="2" t="b">
        <f t="shared" si="19"/>
        <v>0</v>
      </c>
    </row>
    <row r="1220" spans="2:9" x14ac:dyDescent="0.25">
      <c r="B1220" s="161">
        <v>41064</v>
      </c>
      <c r="C1220" s="12" t="s">
        <v>792</v>
      </c>
      <c r="D1220" s="12" t="s">
        <v>457</v>
      </c>
      <c r="E1220" s="12" t="s">
        <v>803</v>
      </c>
      <c r="F1220" s="12" t="s">
        <v>794</v>
      </c>
      <c r="G1220" s="55">
        <v>3178</v>
      </c>
      <c r="H1220" s="55">
        <v>5779</v>
      </c>
      <c r="I1220" s="2" t="b">
        <f t="shared" si="19"/>
        <v>1</v>
      </c>
    </row>
    <row r="1221" spans="2:9" x14ac:dyDescent="0.25">
      <c r="B1221" s="161">
        <v>40997</v>
      </c>
      <c r="C1221" s="12" t="s">
        <v>802</v>
      </c>
      <c r="D1221" s="12" t="s">
        <v>652</v>
      </c>
      <c r="E1221" s="12" t="s">
        <v>607</v>
      </c>
      <c r="F1221" s="12" t="s">
        <v>794</v>
      </c>
      <c r="G1221" s="55">
        <v>1748</v>
      </c>
      <c r="H1221" s="55">
        <v>3012</v>
      </c>
      <c r="I1221" s="2" t="b">
        <f t="shared" si="19"/>
        <v>0</v>
      </c>
    </row>
    <row r="1222" spans="2:9" x14ac:dyDescent="0.25">
      <c r="B1222" s="161">
        <v>40999</v>
      </c>
      <c r="C1222" s="12" t="s">
        <v>802</v>
      </c>
      <c r="D1222" s="12" t="s">
        <v>801</v>
      </c>
      <c r="E1222" s="12" t="s">
        <v>803</v>
      </c>
      <c r="F1222" s="12" t="s">
        <v>791</v>
      </c>
      <c r="G1222" s="55">
        <v>1762</v>
      </c>
      <c r="H1222" s="55">
        <v>4098</v>
      </c>
      <c r="I1222" s="2" t="b">
        <f t="shared" si="19"/>
        <v>0</v>
      </c>
    </row>
    <row r="1223" spans="2:9" x14ac:dyDescent="0.25">
      <c r="B1223" s="161">
        <v>41268</v>
      </c>
      <c r="C1223" s="12" t="s">
        <v>790</v>
      </c>
      <c r="D1223" s="12" t="s">
        <v>797</v>
      </c>
      <c r="E1223" s="12" t="s">
        <v>803</v>
      </c>
      <c r="F1223" s="12" t="s">
        <v>794</v>
      </c>
      <c r="G1223" s="55">
        <v>2282</v>
      </c>
      <c r="H1223" s="55">
        <v>6167</v>
      </c>
      <c r="I1223" s="2" t="b">
        <f t="shared" ref="I1223:I1286" si="20">AND($K$9=C1223,$L$9=D1223,$M$9=F1223)</f>
        <v>0</v>
      </c>
    </row>
    <row r="1224" spans="2:9" x14ac:dyDescent="0.25">
      <c r="B1224" s="161">
        <v>41025</v>
      </c>
      <c r="C1224" s="12" t="s">
        <v>792</v>
      </c>
      <c r="D1224" s="12" t="s">
        <v>801</v>
      </c>
      <c r="E1224" s="12" t="s">
        <v>800</v>
      </c>
      <c r="F1224" s="12" t="s">
        <v>796</v>
      </c>
      <c r="G1224" s="55">
        <v>1102</v>
      </c>
      <c r="H1224" s="55">
        <v>1470</v>
      </c>
      <c r="I1224" s="2" t="b">
        <f t="shared" si="20"/>
        <v>0</v>
      </c>
    </row>
    <row r="1225" spans="2:9" x14ac:dyDescent="0.25">
      <c r="B1225" s="161">
        <v>41105</v>
      </c>
      <c r="C1225" s="12" t="s">
        <v>792</v>
      </c>
      <c r="D1225" s="12" t="s">
        <v>801</v>
      </c>
      <c r="E1225" s="12" t="s">
        <v>795</v>
      </c>
      <c r="F1225" s="12" t="s">
        <v>796</v>
      </c>
      <c r="G1225" s="55">
        <v>991</v>
      </c>
      <c r="H1225" s="55">
        <v>1678</v>
      </c>
      <c r="I1225" s="2" t="b">
        <f t="shared" si="20"/>
        <v>0</v>
      </c>
    </row>
    <row r="1226" spans="2:9" x14ac:dyDescent="0.25">
      <c r="B1226" s="161">
        <v>40954</v>
      </c>
      <c r="C1226" s="12" t="s">
        <v>802</v>
      </c>
      <c r="D1226" s="12" t="s">
        <v>652</v>
      </c>
      <c r="E1226" s="12" t="s">
        <v>806</v>
      </c>
      <c r="F1226" s="12" t="s">
        <v>794</v>
      </c>
      <c r="G1226" s="55">
        <v>5539</v>
      </c>
      <c r="H1226" s="55">
        <v>9386</v>
      </c>
      <c r="I1226" s="2" t="b">
        <f t="shared" si="20"/>
        <v>0</v>
      </c>
    </row>
    <row r="1227" spans="2:9" x14ac:dyDescent="0.25">
      <c r="B1227" s="161">
        <v>41495</v>
      </c>
      <c r="C1227" s="12" t="s">
        <v>792</v>
      </c>
      <c r="D1227" s="12" t="s">
        <v>797</v>
      </c>
      <c r="E1227" s="12" t="s">
        <v>607</v>
      </c>
      <c r="F1227" s="12" t="s">
        <v>799</v>
      </c>
      <c r="G1227" s="55">
        <v>1150</v>
      </c>
      <c r="H1227" s="55">
        <v>3107</v>
      </c>
      <c r="I1227" s="2" t="b">
        <f t="shared" si="20"/>
        <v>0</v>
      </c>
    </row>
    <row r="1228" spans="2:9" x14ac:dyDescent="0.25">
      <c r="B1228" s="161">
        <v>41084</v>
      </c>
      <c r="C1228" s="12" t="s">
        <v>792</v>
      </c>
      <c r="D1228" s="12" t="s">
        <v>457</v>
      </c>
      <c r="E1228" s="12" t="s">
        <v>804</v>
      </c>
      <c r="F1228" s="12" t="s">
        <v>796</v>
      </c>
      <c r="G1228" s="55">
        <v>2081</v>
      </c>
      <c r="H1228" s="55">
        <v>4622</v>
      </c>
      <c r="I1228" s="2" t="b">
        <f t="shared" si="20"/>
        <v>0</v>
      </c>
    </row>
    <row r="1229" spans="2:9" x14ac:dyDescent="0.25">
      <c r="B1229" s="161">
        <v>41567</v>
      </c>
      <c r="C1229" s="12" t="s">
        <v>802</v>
      </c>
      <c r="D1229" s="12" t="s">
        <v>801</v>
      </c>
      <c r="E1229" s="12" t="s">
        <v>607</v>
      </c>
      <c r="F1229" s="12" t="s">
        <v>794</v>
      </c>
      <c r="G1229" s="55">
        <v>5027</v>
      </c>
      <c r="H1229" s="55">
        <v>8668</v>
      </c>
      <c r="I1229" s="2" t="b">
        <f t="shared" si="20"/>
        <v>0</v>
      </c>
    </row>
    <row r="1230" spans="2:9" x14ac:dyDescent="0.25">
      <c r="B1230" s="161">
        <v>41081</v>
      </c>
      <c r="C1230" s="12" t="s">
        <v>792</v>
      </c>
      <c r="D1230" s="12" t="s">
        <v>797</v>
      </c>
      <c r="E1230" s="12" t="s">
        <v>800</v>
      </c>
      <c r="F1230" s="12" t="s">
        <v>799</v>
      </c>
      <c r="G1230" s="55">
        <v>4845</v>
      </c>
      <c r="H1230" s="55">
        <v>8210</v>
      </c>
      <c r="I1230" s="2" t="b">
        <f t="shared" si="20"/>
        <v>0</v>
      </c>
    </row>
    <row r="1231" spans="2:9" x14ac:dyDescent="0.25">
      <c r="B1231" s="161">
        <v>40922</v>
      </c>
      <c r="C1231" s="12" t="s">
        <v>792</v>
      </c>
      <c r="D1231" s="12" t="s">
        <v>457</v>
      </c>
      <c r="E1231" s="12" t="s">
        <v>804</v>
      </c>
      <c r="F1231" s="12" t="s">
        <v>799</v>
      </c>
      <c r="G1231" s="55">
        <v>2207</v>
      </c>
      <c r="H1231" s="55">
        <v>5964</v>
      </c>
      <c r="I1231" s="2" t="b">
        <f t="shared" si="20"/>
        <v>0</v>
      </c>
    </row>
    <row r="1232" spans="2:9" x14ac:dyDescent="0.25">
      <c r="B1232" s="161">
        <v>41579</v>
      </c>
      <c r="C1232" s="12" t="s">
        <v>792</v>
      </c>
      <c r="D1232" s="12" t="s">
        <v>797</v>
      </c>
      <c r="E1232" s="12" t="s">
        <v>806</v>
      </c>
      <c r="F1232" s="12" t="s">
        <v>799</v>
      </c>
      <c r="G1232" s="55">
        <v>4807</v>
      </c>
      <c r="H1232" s="55">
        <v>7067</v>
      </c>
      <c r="I1232" s="2" t="b">
        <f t="shared" si="20"/>
        <v>0</v>
      </c>
    </row>
    <row r="1233" spans="2:9" x14ac:dyDescent="0.25">
      <c r="B1233" s="161">
        <v>40949</v>
      </c>
      <c r="C1233" s="12" t="s">
        <v>790</v>
      </c>
      <c r="D1233" s="12" t="s">
        <v>652</v>
      </c>
      <c r="E1233" s="12" t="s">
        <v>809</v>
      </c>
      <c r="F1233" s="12" t="s">
        <v>799</v>
      </c>
      <c r="G1233" s="55">
        <v>4298</v>
      </c>
      <c r="H1233" s="55">
        <v>9994</v>
      </c>
      <c r="I1233" s="2" t="b">
        <f t="shared" si="20"/>
        <v>0</v>
      </c>
    </row>
    <row r="1234" spans="2:9" x14ac:dyDescent="0.25">
      <c r="B1234" s="161">
        <v>41459</v>
      </c>
      <c r="C1234" s="12" t="s">
        <v>792</v>
      </c>
      <c r="D1234" s="12" t="s">
        <v>797</v>
      </c>
      <c r="E1234" s="12" t="s">
        <v>803</v>
      </c>
      <c r="F1234" s="12" t="s">
        <v>796</v>
      </c>
      <c r="G1234" s="55">
        <v>346</v>
      </c>
      <c r="H1234" s="55">
        <v>370</v>
      </c>
      <c r="I1234" s="2" t="b">
        <f t="shared" si="20"/>
        <v>0</v>
      </c>
    </row>
    <row r="1235" spans="2:9" x14ac:dyDescent="0.25">
      <c r="B1235" s="161">
        <v>41286</v>
      </c>
      <c r="C1235" s="12" t="s">
        <v>802</v>
      </c>
      <c r="D1235" s="12" t="s">
        <v>652</v>
      </c>
      <c r="E1235" s="12" t="s">
        <v>793</v>
      </c>
      <c r="F1235" s="12" t="s">
        <v>796</v>
      </c>
      <c r="G1235" s="55">
        <v>2810</v>
      </c>
      <c r="H1235" s="55">
        <v>5108</v>
      </c>
      <c r="I1235" s="2" t="b">
        <f t="shared" si="20"/>
        <v>0</v>
      </c>
    </row>
    <row r="1236" spans="2:9" x14ac:dyDescent="0.25">
      <c r="B1236" s="161">
        <v>41374</v>
      </c>
      <c r="C1236" s="12" t="s">
        <v>790</v>
      </c>
      <c r="D1236" s="12" t="s">
        <v>652</v>
      </c>
      <c r="E1236" s="12" t="s">
        <v>487</v>
      </c>
      <c r="F1236" s="12" t="s">
        <v>796</v>
      </c>
      <c r="G1236" s="55">
        <v>2059</v>
      </c>
      <c r="H1236" s="55">
        <v>3491</v>
      </c>
      <c r="I1236" s="2" t="b">
        <f t="shared" si="20"/>
        <v>0</v>
      </c>
    </row>
    <row r="1237" spans="2:9" x14ac:dyDescent="0.25">
      <c r="B1237" s="161">
        <v>41260</v>
      </c>
      <c r="C1237" s="12" t="s">
        <v>805</v>
      </c>
      <c r="D1237" s="12" t="s">
        <v>652</v>
      </c>
      <c r="E1237" s="12" t="s">
        <v>806</v>
      </c>
      <c r="F1237" s="12" t="s">
        <v>799</v>
      </c>
      <c r="G1237" s="55">
        <v>3551</v>
      </c>
      <c r="H1237" s="55">
        <v>7890</v>
      </c>
      <c r="I1237" s="2" t="b">
        <f t="shared" si="20"/>
        <v>0</v>
      </c>
    </row>
    <row r="1238" spans="2:9" x14ac:dyDescent="0.25">
      <c r="B1238" s="161">
        <v>41263</v>
      </c>
      <c r="C1238" s="12" t="s">
        <v>790</v>
      </c>
      <c r="D1238" s="12" t="s">
        <v>652</v>
      </c>
      <c r="E1238" s="12" t="s">
        <v>793</v>
      </c>
      <c r="F1238" s="12" t="s">
        <v>799</v>
      </c>
      <c r="G1238" s="55">
        <v>609</v>
      </c>
      <c r="H1238" s="55">
        <v>1049</v>
      </c>
      <c r="I1238" s="2" t="b">
        <f t="shared" si="20"/>
        <v>0</v>
      </c>
    </row>
    <row r="1239" spans="2:9" x14ac:dyDescent="0.25">
      <c r="B1239" s="161">
        <v>41391</v>
      </c>
      <c r="C1239" s="12" t="s">
        <v>790</v>
      </c>
      <c r="D1239" s="12" t="s">
        <v>457</v>
      </c>
      <c r="E1239" s="12" t="s">
        <v>793</v>
      </c>
      <c r="F1239" s="12" t="s">
        <v>796</v>
      </c>
      <c r="G1239" s="55">
        <v>1942</v>
      </c>
      <c r="H1239" s="55">
        <v>2591</v>
      </c>
      <c r="I1239" s="2" t="b">
        <f t="shared" si="20"/>
        <v>0</v>
      </c>
    </row>
    <row r="1240" spans="2:9" x14ac:dyDescent="0.25">
      <c r="B1240" s="161">
        <v>41257</v>
      </c>
      <c r="C1240" s="12" t="s">
        <v>792</v>
      </c>
      <c r="D1240" s="12" t="s">
        <v>797</v>
      </c>
      <c r="E1240" s="12" t="s">
        <v>807</v>
      </c>
      <c r="F1240" s="12" t="s">
        <v>799</v>
      </c>
      <c r="G1240" s="55">
        <v>2417</v>
      </c>
      <c r="H1240" s="55">
        <v>5370</v>
      </c>
      <c r="I1240" s="2" t="b">
        <f t="shared" si="20"/>
        <v>0</v>
      </c>
    </row>
    <row r="1241" spans="2:9" x14ac:dyDescent="0.25">
      <c r="B1241" s="161">
        <v>41314</v>
      </c>
      <c r="C1241" s="12" t="s">
        <v>790</v>
      </c>
      <c r="D1241" s="12" t="s">
        <v>457</v>
      </c>
      <c r="E1241" s="12" t="s">
        <v>800</v>
      </c>
      <c r="F1241" s="12" t="s">
        <v>796</v>
      </c>
      <c r="G1241" s="55">
        <v>7363</v>
      </c>
      <c r="H1241" s="55">
        <v>9816</v>
      </c>
      <c r="I1241" s="2" t="b">
        <f t="shared" si="20"/>
        <v>0</v>
      </c>
    </row>
    <row r="1242" spans="2:9" x14ac:dyDescent="0.25">
      <c r="B1242" s="161">
        <v>40948</v>
      </c>
      <c r="C1242" s="12" t="s">
        <v>790</v>
      </c>
      <c r="D1242" s="12" t="s">
        <v>457</v>
      </c>
      <c r="E1242" s="12" t="s">
        <v>793</v>
      </c>
      <c r="F1242" s="12" t="s">
        <v>791</v>
      </c>
      <c r="G1242" s="55">
        <v>2712</v>
      </c>
      <c r="H1242" s="55">
        <v>6026</v>
      </c>
      <c r="I1242" s="2" t="b">
        <f t="shared" si="20"/>
        <v>0</v>
      </c>
    </row>
    <row r="1243" spans="2:9" x14ac:dyDescent="0.25">
      <c r="B1243" s="161">
        <v>41036</v>
      </c>
      <c r="C1243" s="12" t="s">
        <v>792</v>
      </c>
      <c r="D1243" s="12" t="s">
        <v>652</v>
      </c>
      <c r="E1243" s="12" t="s">
        <v>809</v>
      </c>
      <c r="F1243" s="12" t="s">
        <v>791</v>
      </c>
      <c r="G1243" s="55">
        <v>2609</v>
      </c>
      <c r="H1243" s="55">
        <v>2965</v>
      </c>
      <c r="I1243" s="2" t="b">
        <f t="shared" si="20"/>
        <v>0</v>
      </c>
    </row>
    <row r="1244" spans="2:9" x14ac:dyDescent="0.25">
      <c r="B1244" s="161">
        <v>41114</v>
      </c>
      <c r="C1244" s="12" t="s">
        <v>790</v>
      </c>
      <c r="D1244" s="12" t="s">
        <v>457</v>
      </c>
      <c r="E1244" s="12" t="s">
        <v>607</v>
      </c>
      <c r="F1244" s="12" t="s">
        <v>799</v>
      </c>
      <c r="G1244" s="55">
        <v>4233</v>
      </c>
      <c r="H1244" s="55">
        <v>9405</v>
      </c>
      <c r="I1244" s="2" t="b">
        <f t="shared" si="20"/>
        <v>0</v>
      </c>
    </row>
    <row r="1245" spans="2:9" x14ac:dyDescent="0.25">
      <c r="B1245" s="161">
        <v>41268</v>
      </c>
      <c r="C1245" s="12" t="s">
        <v>792</v>
      </c>
      <c r="D1245" s="12" t="s">
        <v>457</v>
      </c>
      <c r="E1245" s="12" t="s">
        <v>806</v>
      </c>
      <c r="F1245" s="12" t="s">
        <v>796</v>
      </c>
      <c r="G1245" s="55">
        <v>5914</v>
      </c>
      <c r="H1245" s="55">
        <v>6326</v>
      </c>
      <c r="I1245" s="2" t="b">
        <f t="shared" si="20"/>
        <v>0</v>
      </c>
    </row>
    <row r="1246" spans="2:9" x14ac:dyDescent="0.25">
      <c r="B1246" s="161">
        <v>40956</v>
      </c>
      <c r="C1246" s="12" t="s">
        <v>802</v>
      </c>
      <c r="D1246" s="12" t="s">
        <v>797</v>
      </c>
      <c r="E1246" s="12" t="s">
        <v>809</v>
      </c>
      <c r="F1246" s="12" t="s">
        <v>796</v>
      </c>
      <c r="G1246" s="55">
        <v>2037</v>
      </c>
      <c r="H1246" s="55">
        <v>3704</v>
      </c>
      <c r="I1246" s="2" t="b">
        <f t="shared" si="20"/>
        <v>0</v>
      </c>
    </row>
    <row r="1247" spans="2:9" x14ac:dyDescent="0.25">
      <c r="B1247" s="161">
        <v>41407</v>
      </c>
      <c r="C1247" s="12" t="s">
        <v>805</v>
      </c>
      <c r="D1247" s="12" t="s">
        <v>801</v>
      </c>
      <c r="E1247" s="12" t="s">
        <v>793</v>
      </c>
      <c r="F1247" s="12" t="s">
        <v>794</v>
      </c>
      <c r="G1247" s="55">
        <v>929</v>
      </c>
      <c r="H1247" s="55">
        <v>2508</v>
      </c>
      <c r="I1247" s="2" t="b">
        <f t="shared" si="20"/>
        <v>0</v>
      </c>
    </row>
    <row r="1248" spans="2:9" x14ac:dyDescent="0.25">
      <c r="B1248" s="161">
        <v>41480</v>
      </c>
      <c r="C1248" s="12" t="s">
        <v>792</v>
      </c>
      <c r="D1248" s="12" t="s">
        <v>457</v>
      </c>
      <c r="E1248" s="12" t="s">
        <v>803</v>
      </c>
      <c r="F1248" s="12" t="s">
        <v>794</v>
      </c>
      <c r="G1248" s="55">
        <v>307</v>
      </c>
      <c r="H1248" s="55">
        <v>410</v>
      </c>
      <c r="I1248" s="2" t="b">
        <f t="shared" si="20"/>
        <v>1</v>
      </c>
    </row>
    <row r="1249" spans="2:9" x14ac:dyDescent="0.25">
      <c r="B1249" s="161">
        <v>41261</v>
      </c>
      <c r="C1249" s="12" t="s">
        <v>790</v>
      </c>
      <c r="D1249" s="12" t="s">
        <v>801</v>
      </c>
      <c r="E1249" s="12" t="s">
        <v>807</v>
      </c>
      <c r="F1249" s="12" t="s">
        <v>799</v>
      </c>
      <c r="G1249" s="55">
        <v>2693</v>
      </c>
      <c r="H1249" s="55">
        <v>7278</v>
      </c>
      <c r="I1249" s="2" t="b">
        <f t="shared" si="20"/>
        <v>0</v>
      </c>
    </row>
    <row r="1250" spans="2:9" x14ac:dyDescent="0.25">
      <c r="B1250" s="161">
        <v>41379</v>
      </c>
      <c r="C1250" s="12" t="s">
        <v>790</v>
      </c>
      <c r="D1250" s="12" t="s">
        <v>797</v>
      </c>
      <c r="E1250" s="12" t="s">
        <v>809</v>
      </c>
      <c r="F1250" s="12" t="s">
        <v>796</v>
      </c>
      <c r="G1250" s="55">
        <v>3895</v>
      </c>
      <c r="H1250" s="55">
        <v>8655</v>
      </c>
      <c r="I1250" s="2" t="b">
        <f t="shared" si="20"/>
        <v>0</v>
      </c>
    </row>
    <row r="1251" spans="2:9" x14ac:dyDescent="0.25">
      <c r="B1251" s="161">
        <v>40912</v>
      </c>
      <c r="C1251" s="12" t="s">
        <v>802</v>
      </c>
      <c r="D1251" s="12" t="s">
        <v>652</v>
      </c>
      <c r="E1251" s="12" t="s">
        <v>800</v>
      </c>
      <c r="F1251" s="12" t="s">
        <v>791</v>
      </c>
      <c r="G1251" s="55">
        <v>2694</v>
      </c>
      <c r="H1251" s="55">
        <v>5986</v>
      </c>
      <c r="I1251" s="2" t="b">
        <f t="shared" si="20"/>
        <v>0</v>
      </c>
    </row>
    <row r="1252" spans="2:9" x14ac:dyDescent="0.25">
      <c r="B1252" s="161">
        <v>41084</v>
      </c>
      <c r="C1252" s="12" t="s">
        <v>802</v>
      </c>
      <c r="D1252" s="12" t="s">
        <v>801</v>
      </c>
      <c r="E1252" s="12" t="s">
        <v>793</v>
      </c>
      <c r="F1252" s="12" t="s">
        <v>799</v>
      </c>
      <c r="G1252" s="55">
        <v>1862</v>
      </c>
      <c r="H1252" s="55">
        <v>1990</v>
      </c>
      <c r="I1252" s="2" t="b">
        <f t="shared" si="20"/>
        <v>0</v>
      </c>
    </row>
    <row r="1253" spans="2:9" x14ac:dyDescent="0.25">
      <c r="B1253" s="161">
        <v>41172</v>
      </c>
      <c r="C1253" s="12" t="s">
        <v>790</v>
      </c>
      <c r="D1253" s="12" t="s">
        <v>797</v>
      </c>
      <c r="E1253" s="12" t="s">
        <v>804</v>
      </c>
      <c r="F1253" s="12" t="s">
        <v>796</v>
      </c>
      <c r="G1253" s="55">
        <v>2082</v>
      </c>
      <c r="H1253" s="55">
        <v>2776</v>
      </c>
      <c r="I1253" s="2" t="b">
        <f t="shared" si="20"/>
        <v>0</v>
      </c>
    </row>
    <row r="1254" spans="2:9" x14ac:dyDescent="0.25">
      <c r="B1254" s="161">
        <v>40921</v>
      </c>
      <c r="C1254" s="12" t="s">
        <v>790</v>
      </c>
      <c r="D1254" s="12" t="s">
        <v>797</v>
      </c>
      <c r="E1254" s="12" t="s">
        <v>798</v>
      </c>
      <c r="F1254" s="12" t="s">
        <v>796</v>
      </c>
      <c r="G1254" s="55">
        <v>1269</v>
      </c>
      <c r="H1254" s="55">
        <v>1692</v>
      </c>
      <c r="I1254" s="2" t="b">
        <f t="shared" si="20"/>
        <v>0</v>
      </c>
    </row>
    <row r="1255" spans="2:9" x14ac:dyDescent="0.25">
      <c r="B1255" s="161">
        <v>41556</v>
      </c>
      <c r="C1255" s="12" t="s">
        <v>792</v>
      </c>
      <c r="D1255" s="12" t="s">
        <v>652</v>
      </c>
      <c r="E1255" s="12" t="s">
        <v>795</v>
      </c>
      <c r="F1255" s="12" t="s">
        <v>796</v>
      </c>
      <c r="G1255" s="55">
        <v>2719</v>
      </c>
      <c r="H1255" s="55">
        <v>6324</v>
      </c>
      <c r="I1255" s="2" t="b">
        <f t="shared" si="20"/>
        <v>0</v>
      </c>
    </row>
    <row r="1256" spans="2:9" x14ac:dyDescent="0.25">
      <c r="B1256" s="161">
        <v>41580</v>
      </c>
      <c r="C1256" s="12" t="s">
        <v>805</v>
      </c>
      <c r="D1256" s="12" t="s">
        <v>652</v>
      </c>
      <c r="E1256" s="12" t="s">
        <v>806</v>
      </c>
      <c r="F1256" s="12" t="s">
        <v>794</v>
      </c>
      <c r="G1256" s="55">
        <v>3551</v>
      </c>
      <c r="H1256" s="55">
        <v>4733</v>
      </c>
      <c r="I1256" s="2" t="b">
        <f t="shared" si="20"/>
        <v>0</v>
      </c>
    </row>
    <row r="1257" spans="2:9" x14ac:dyDescent="0.25">
      <c r="B1257" s="161">
        <v>41416</v>
      </c>
      <c r="C1257" s="12" t="s">
        <v>805</v>
      </c>
      <c r="D1257" s="12" t="s">
        <v>801</v>
      </c>
      <c r="E1257" s="12" t="s">
        <v>795</v>
      </c>
      <c r="F1257" s="12" t="s">
        <v>799</v>
      </c>
      <c r="G1257" s="55">
        <v>4441</v>
      </c>
      <c r="H1257" s="55">
        <v>6531</v>
      </c>
      <c r="I1257" s="2" t="b">
        <f t="shared" si="20"/>
        <v>0</v>
      </c>
    </row>
    <row r="1258" spans="2:9" x14ac:dyDescent="0.25">
      <c r="B1258" s="161">
        <v>41514</v>
      </c>
      <c r="C1258" s="12" t="s">
        <v>792</v>
      </c>
      <c r="D1258" s="12" t="s">
        <v>801</v>
      </c>
      <c r="E1258" s="12" t="s">
        <v>807</v>
      </c>
      <c r="F1258" s="12" t="s">
        <v>794</v>
      </c>
      <c r="G1258" s="55">
        <v>5364</v>
      </c>
      <c r="H1258" s="55">
        <v>7888</v>
      </c>
      <c r="I1258" s="2" t="b">
        <f t="shared" si="20"/>
        <v>0</v>
      </c>
    </row>
    <row r="1259" spans="2:9" x14ac:dyDescent="0.25">
      <c r="B1259" s="161">
        <v>41281</v>
      </c>
      <c r="C1259" s="12" t="s">
        <v>790</v>
      </c>
      <c r="D1259" s="12" t="s">
        <v>801</v>
      </c>
      <c r="E1259" s="12" t="s">
        <v>800</v>
      </c>
      <c r="F1259" s="12" t="s">
        <v>799</v>
      </c>
      <c r="G1259" s="55">
        <v>3895</v>
      </c>
      <c r="H1259" s="55">
        <v>6601</v>
      </c>
      <c r="I1259" s="2" t="b">
        <f t="shared" si="20"/>
        <v>0</v>
      </c>
    </row>
    <row r="1260" spans="2:9" x14ac:dyDescent="0.25">
      <c r="B1260" s="161">
        <v>40946</v>
      </c>
      <c r="C1260" s="12" t="s">
        <v>792</v>
      </c>
      <c r="D1260" s="12" t="s">
        <v>457</v>
      </c>
      <c r="E1260" s="12" t="s">
        <v>809</v>
      </c>
      <c r="F1260" s="12" t="s">
        <v>791</v>
      </c>
      <c r="G1260" s="55">
        <v>3726</v>
      </c>
      <c r="H1260" s="55">
        <v>3986</v>
      </c>
      <c r="I1260" s="2" t="b">
        <f t="shared" si="20"/>
        <v>0</v>
      </c>
    </row>
    <row r="1261" spans="2:9" x14ac:dyDescent="0.25">
      <c r="B1261" s="161">
        <v>41554</v>
      </c>
      <c r="C1261" s="12" t="s">
        <v>790</v>
      </c>
      <c r="D1261" s="12" t="s">
        <v>797</v>
      </c>
      <c r="E1261" s="12" t="s">
        <v>800</v>
      </c>
      <c r="F1261" s="12" t="s">
        <v>794</v>
      </c>
      <c r="G1261" s="55">
        <v>3455</v>
      </c>
      <c r="H1261" s="55">
        <v>9338</v>
      </c>
      <c r="I1261" s="2" t="b">
        <f t="shared" si="20"/>
        <v>0</v>
      </c>
    </row>
    <row r="1262" spans="2:9" x14ac:dyDescent="0.25">
      <c r="B1262" s="161">
        <v>41207</v>
      </c>
      <c r="C1262" s="12" t="s">
        <v>790</v>
      </c>
      <c r="D1262" s="12" t="s">
        <v>801</v>
      </c>
      <c r="E1262" s="12" t="s">
        <v>800</v>
      </c>
      <c r="F1262" s="12" t="s">
        <v>794</v>
      </c>
      <c r="G1262" s="55">
        <v>2035</v>
      </c>
      <c r="H1262" s="55">
        <v>3507</v>
      </c>
      <c r="I1262" s="2" t="b">
        <f t="shared" si="20"/>
        <v>0</v>
      </c>
    </row>
    <row r="1263" spans="2:9" x14ac:dyDescent="0.25">
      <c r="B1263" s="161">
        <v>40990</v>
      </c>
      <c r="C1263" s="12" t="s">
        <v>790</v>
      </c>
      <c r="D1263" s="12" t="s">
        <v>797</v>
      </c>
      <c r="E1263" s="12" t="s">
        <v>806</v>
      </c>
      <c r="F1263" s="12" t="s">
        <v>799</v>
      </c>
      <c r="G1263" s="55">
        <v>4232</v>
      </c>
      <c r="H1263" s="55">
        <v>7295</v>
      </c>
      <c r="I1263" s="2" t="b">
        <f t="shared" si="20"/>
        <v>0</v>
      </c>
    </row>
    <row r="1264" spans="2:9" x14ac:dyDescent="0.25">
      <c r="B1264" s="161">
        <v>40992</v>
      </c>
      <c r="C1264" s="12" t="s">
        <v>790</v>
      </c>
      <c r="D1264" s="12" t="s">
        <v>801</v>
      </c>
      <c r="E1264" s="12" t="s">
        <v>804</v>
      </c>
      <c r="F1264" s="12" t="s">
        <v>799</v>
      </c>
      <c r="G1264" s="55">
        <v>141</v>
      </c>
      <c r="H1264" s="55">
        <v>315</v>
      </c>
      <c r="I1264" s="2" t="b">
        <f t="shared" si="20"/>
        <v>0</v>
      </c>
    </row>
    <row r="1265" spans="2:9" x14ac:dyDescent="0.25">
      <c r="B1265" s="161">
        <v>41431</v>
      </c>
      <c r="C1265" s="12" t="s">
        <v>790</v>
      </c>
      <c r="D1265" s="12" t="s">
        <v>801</v>
      </c>
      <c r="E1265" s="12" t="s">
        <v>804</v>
      </c>
      <c r="F1265" s="12" t="s">
        <v>796</v>
      </c>
      <c r="G1265" s="55">
        <v>991</v>
      </c>
      <c r="H1265" s="55">
        <v>2675</v>
      </c>
      <c r="I1265" s="2" t="b">
        <f t="shared" si="20"/>
        <v>0</v>
      </c>
    </row>
    <row r="1266" spans="2:9" x14ac:dyDescent="0.25">
      <c r="B1266" s="161">
        <v>41257</v>
      </c>
      <c r="C1266" s="12" t="s">
        <v>802</v>
      </c>
      <c r="D1266" s="12" t="s">
        <v>801</v>
      </c>
      <c r="E1266" s="12" t="s">
        <v>795</v>
      </c>
      <c r="F1266" s="12" t="s">
        <v>794</v>
      </c>
      <c r="G1266" s="55">
        <v>2232</v>
      </c>
      <c r="H1266" s="55">
        <v>4959</v>
      </c>
      <c r="I1266" s="2" t="b">
        <f t="shared" si="20"/>
        <v>0</v>
      </c>
    </row>
    <row r="1267" spans="2:9" x14ac:dyDescent="0.25">
      <c r="B1267" s="161">
        <v>41315</v>
      </c>
      <c r="C1267" s="12" t="s">
        <v>802</v>
      </c>
      <c r="D1267" s="12" t="s">
        <v>801</v>
      </c>
      <c r="E1267" s="12" t="s">
        <v>808</v>
      </c>
      <c r="F1267" s="12" t="s">
        <v>794</v>
      </c>
      <c r="G1267" s="55">
        <v>523</v>
      </c>
      <c r="H1267" s="55">
        <v>593</v>
      </c>
      <c r="I1267" s="2" t="b">
        <f t="shared" si="20"/>
        <v>0</v>
      </c>
    </row>
    <row r="1268" spans="2:9" x14ac:dyDescent="0.25">
      <c r="B1268" s="161">
        <v>41024</v>
      </c>
      <c r="C1268" s="12" t="s">
        <v>790</v>
      </c>
      <c r="D1268" s="12" t="s">
        <v>652</v>
      </c>
      <c r="E1268" s="12" t="s">
        <v>487</v>
      </c>
      <c r="F1268" s="12" t="s">
        <v>799</v>
      </c>
      <c r="G1268" s="55">
        <v>3292</v>
      </c>
      <c r="H1268" s="55">
        <v>4842</v>
      </c>
      <c r="I1268" s="2" t="b">
        <f t="shared" si="20"/>
        <v>0</v>
      </c>
    </row>
    <row r="1269" spans="2:9" x14ac:dyDescent="0.25">
      <c r="B1269" s="161">
        <v>41376</v>
      </c>
      <c r="C1269" s="12" t="s">
        <v>805</v>
      </c>
      <c r="D1269" s="12" t="s">
        <v>797</v>
      </c>
      <c r="E1269" s="12" t="s">
        <v>487</v>
      </c>
      <c r="F1269" s="12" t="s">
        <v>799</v>
      </c>
      <c r="G1269" s="55">
        <v>5929</v>
      </c>
      <c r="H1269" s="55">
        <v>7906</v>
      </c>
      <c r="I1269" s="2" t="b">
        <f t="shared" si="20"/>
        <v>0</v>
      </c>
    </row>
    <row r="1270" spans="2:9" x14ac:dyDescent="0.25">
      <c r="B1270" s="161">
        <v>41140</v>
      </c>
      <c r="C1270" s="12" t="s">
        <v>802</v>
      </c>
      <c r="D1270" s="12" t="s">
        <v>457</v>
      </c>
      <c r="E1270" s="12" t="s">
        <v>808</v>
      </c>
      <c r="F1270" s="12" t="s">
        <v>794</v>
      </c>
      <c r="G1270" s="55">
        <v>7773</v>
      </c>
      <c r="H1270" s="55">
        <v>8314</v>
      </c>
      <c r="I1270" s="2" t="b">
        <f t="shared" si="20"/>
        <v>0</v>
      </c>
    </row>
    <row r="1271" spans="2:9" x14ac:dyDescent="0.25">
      <c r="B1271" s="161">
        <v>41217</v>
      </c>
      <c r="C1271" s="12" t="s">
        <v>790</v>
      </c>
      <c r="D1271" s="12" t="s">
        <v>801</v>
      </c>
      <c r="E1271" s="12" t="s">
        <v>807</v>
      </c>
      <c r="F1271" s="12" t="s">
        <v>796</v>
      </c>
      <c r="G1271" s="55">
        <v>1446</v>
      </c>
      <c r="H1271" s="55">
        <v>2451</v>
      </c>
      <c r="I1271" s="2" t="b">
        <f t="shared" si="20"/>
        <v>0</v>
      </c>
    </row>
    <row r="1272" spans="2:9" x14ac:dyDescent="0.25">
      <c r="B1272" s="161">
        <v>40964</v>
      </c>
      <c r="C1272" s="12" t="s">
        <v>792</v>
      </c>
      <c r="D1272" s="12" t="s">
        <v>457</v>
      </c>
      <c r="E1272" s="12" t="s">
        <v>795</v>
      </c>
      <c r="F1272" s="12" t="s">
        <v>791</v>
      </c>
      <c r="G1272" s="55">
        <v>2307</v>
      </c>
      <c r="H1272" s="55">
        <v>6236</v>
      </c>
      <c r="I1272" s="2" t="b">
        <f t="shared" si="20"/>
        <v>0</v>
      </c>
    </row>
    <row r="1273" spans="2:9" x14ac:dyDescent="0.25">
      <c r="B1273" s="161">
        <v>41213</v>
      </c>
      <c r="C1273" s="12" t="s">
        <v>790</v>
      </c>
      <c r="D1273" s="12" t="s">
        <v>797</v>
      </c>
      <c r="E1273" s="12" t="s">
        <v>487</v>
      </c>
      <c r="F1273" s="12" t="s">
        <v>799</v>
      </c>
      <c r="G1273" s="55">
        <v>3161</v>
      </c>
      <c r="H1273" s="55">
        <v>7024</v>
      </c>
      <c r="I1273" s="2" t="b">
        <f t="shared" si="20"/>
        <v>0</v>
      </c>
    </row>
    <row r="1274" spans="2:9" x14ac:dyDescent="0.25">
      <c r="B1274" s="161">
        <v>41089</v>
      </c>
      <c r="C1274" s="12" t="s">
        <v>805</v>
      </c>
      <c r="D1274" s="12" t="s">
        <v>801</v>
      </c>
      <c r="E1274" s="12" t="s">
        <v>806</v>
      </c>
      <c r="F1274" s="12" t="s">
        <v>794</v>
      </c>
      <c r="G1274" s="55">
        <v>1566</v>
      </c>
      <c r="H1274" s="55">
        <v>2847</v>
      </c>
      <c r="I1274" s="2" t="b">
        <f t="shared" si="20"/>
        <v>0</v>
      </c>
    </row>
    <row r="1275" spans="2:9" x14ac:dyDescent="0.25">
      <c r="B1275" s="161">
        <v>41529</v>
      </c>
      <c r="C1275" s="12" t="s">
        <v>790</v>
      </c>
      <c r="D1275" s="12" t="s">
        <v>797</v>
      </c>
      <c r="E1275" s="12" t="s">
        <v>804</v>
      </c>
      <c r="F1275" s="12" t="s">
        <v>796</v>
      </c>
      <c r="G1275" s="55">
        <v>1455</v>
      </c>
      <c r="H1275" s="55">
        <v>1940</v>
      </c>
      <c r="I1275" s="2" t="b">
        <f t="shared" si="20"/>
        <v>0</v>
      </c>
    </row>
    <row r="1276" spans="2:9" x14ac:dyDescent="0.25">
      <c r="B1276" s="161">
        <v>41282</v>
      </c>
      <c r="C1276" s="12" t="s">
        <v>792</v>
      </c>
      <c r="D1276" s="12" t="s">
        <v>801</v>
      </c>
      <c r="E1276" s="12" t="s">
        <v>607</v>
      </c>
      <c r="F1276" s="12" t="s">
        <v>794</v>
      </c>
      <c r="G1276" s="55">
        <v>4350</v>
      </c>
      <c r="H1276" s="55">
        <v>4942</v>
      </c>
      <c r="I1276" s="2" t="b">
        <f t="shared" si="20"/>
        <v>0</v>
      </c>
    </row>
    <row r="1277" spans="2:9" x14ac:dyDescent="0.25">
      <c r="B1277" s="161">
        <v>41162</v>
      </c>
      <c r="C1277" s="12" t="s">
        <v>792</v>
      </c>
      <c r="D1277" s="12" t="s">
        <v>457</v>
      </c>
      <c r="E1277" s="12" t="s">
        <v>804</v>
      </c>
      <c r="F1277" s="12" t="s">
        <v>791</v>
      </c>
      <c r="G1277" s="55">
        <v>3061</v>
      </c>
      <c r="H1277" s="55">
        <v>5565</v>
      </c>
      <c r="I1277" s="2" t="b">
        <f t="shared" si="20"/>
        <v>0</v>
      </c>
    </row>
    <row r="1278" spans="2:9" x14ac:dyDescent="0.25">
      <c r="B1278" s="161">
        <v>41522</v>
      </c>
      <c r="C1278" s="12" t="s">
        <v>802</v>
      </c>
      <c r="D1278" s="12" t="s">
        <v>457</v>
      </c>
      <c r="E1278" s="12" t="s">
        <v>804</v>
      </c>
      <c r="F1278" s="12" t="s">
        <v>791</v>
      </c>
      <c r="G1278" s="55">
        <v>3313</v>
      </c>
      <c r="H1278" s="55">
        <v>6025</v>
      </c>
      <c r="I1278" s="2" t="b">
        <f t="shared" si="20"/>
        <v>0</v>
      </c>
    </row>
    <row r="1279" spans="2:9" x14ac:dyDescent="0.25">
      <c r="B1279" s="161">
        <v>40922</v>
      </c>
      <c r="C1279" s="12" t="s">
        <v>792</v>
      </c>
      <c r="D1279" s="12" t="s">
        <v>652</v>
      </c>
      <c r="E1279" s="12" t="s">
        <v>800</v>
      </c>
      <c r="F1279" s="12" t="s">
        <v>794</v>
      </c>
      <c r="G1279" s="55">
        <v>3241</v>
      </c>
      <c r="H1279" s="55">
        <v>3467</v>
      </c>
      <c r="I1279" s="2" t="b">
        <f t="shared" si="20"/>
        <v>0</v>
      </c>
    </row>
    <row r="1280" spans="2:9" x14ac:dyDescent="0.25">
      <c r="B1280" s="161">
        <v>41274</v>
      </c>
      <c r="C1280" s="12" t="s">
        <v>790</v>
      </c>
      <c r="D1280" s="12" t="s">
        <v>797</v>
      </c>
      <c r="E1280" s="12" t="s">
        <v>808</v>
      </c>
      <c r="F1280" s="12" t="s">
        <v>794</v>
      </c>
      <c r="G1280" s="55">
        <v>4766</v>
      </c>
      <c r="H1280" s="55">
        <v>8663</v>
      </c>
      <c r="I1280" s="2" t="b">
        <f t="shared" si="20"/>
        <v>0</v>
      </c>
    </row>
    <row r="1281" spans="2:9" x14ac:dyDescent="0.25">
      <c r="B1281" s="161">
        <v>41315</v>
      </c>
      <c r="C1281" s="12" t="s">
        <v>790</v>
      </c>
      <c r="D1281" s="12" t="s">
        <v>652</v>
      </c>
      <c r="E1281" s="12" t="s">
        <v>807</v>
      </c>
      <c r="F1281" s="12" t="s">
        <v>796</v>
      </c>
      <c r="G1281" s="55">
        <v>3235</v>
      </c>
      <c r="H1281" s="55">
        <v>7190</v>
      </c>
      <c r="I1281" s="2" t="b">
        <f t="shared" si="20"/>
        <v>0</v>
      </c>
    </row>
    <row r="1282" spans="2:9" x14ac:dyDescent="0.25">
      <c r="B1282" s="161">
        <v>41012</v>
      </c>
      <c r="C1282" s="12" t="s">
        <v>802</v>
      </c>
      <c r="D1282" s="12" t="s">
        <v>457</v>
      </c>
      <c r="E1282" s="12" t="s">
        <v>804</v>
      </c>
      <c r="F1282" s="12" t="s">
        <v>799</v>
      </c>
      <c r="G1282" s="55">
        <v>459</v>
      </c>
      <c r="H1282" s="55">
        <v>1237</v>
      </c>
      <c r="I1282" s="2" t="b">
        <f t="shared" si="20"/>
        <v>0</v>
      </c>
    </row>
    <row r="1283" spans="2:9" x14ac:dyDescent="0.25">
      <c r="B1283" s="161">
        <v>41299</v>
      </c>
      <c r="C1283" s="12" t="s">
        <v>792</v>
      </c>
      <c r="D1283" s="12" t="s">
        <v>801</v>
      </c>
      <c r="E1283" s="12" t="s">
        <v>793</v>
      </c>
      <c r="F1283" s="12" t="s">
        <v>791</v>
      </c>
      <c r="G1283" s="55">
        <v>518</v>
      </c>
      <c r="H1283" s="55">
        <v>941</v>
      </c>
      <c r="I1283" s="2" t="b">
        <f t="shared" si="20"/>
        <v>0</v>
      </c>
    </row>
    <row r="1284" spans="2:9" x14ac:dyDescent="0.25">
      <c r="B1284" s="161">
        <v>41445</v>
      </c>
      <c r="C1284" s="12" t="s">
        <v>790</v>
      </c>
      <c r="D1284" s="12" t="s">
        <v>801</v>
      </c>
      <c r="E1284" s="12" t="s">
        <v>803</v>
      </c>
      <c r="F1284" s="12" t="s">
        <v>794</v>
      </c>
      <c r="G1284" s="55">
        <v>8722</v>
      </c>
      <c r="H1284" s="55">
        <v>9912</v>
      </c>
      <c r="I1284" s="2" t="b">
        <f t="shared" si="20"/>
        <v>0</v>
      </c>
    </row>
    <row r="1285" spans="2:9" x14ac:dyDescent="0.25">
      <c r="B1285" s="161">
        <v>41186</v>
      </c>
      <c r="C1285" s="12" t="s">
        <v>790</v>
      </c>
      <c r="D1285" s="12" t="s">
        <v>652</v>
      </c>
      <c r="E1285" s="12" t="s">
        <v>808</v>
      </c>
      <c r="F1285" s="12" t="s">
        <v>796</v>
      </c>
      <c r="G1285" s="55">
        <v>8749</v>
      </c>
      <c r="H1285" s="55">
        <v>9942</v>
      </c>
      <c r="I1285" s="2" t="b">
        <f t="shared" si="20"/>
        <v>0</v>
      </c>
    </row>
    <row r="1286" spans="2:9" x14ac:dyDescent="0.25">
      <c r="B1286" s="161">
        <v>41216</v>
      </c>
      <c r="C1286" s="12" t="s">
        <v>790</v>
      </c>
      <c r="D1286" s="12" t="s">
        <v>457</v>
      </c>
      <c r="E1286" s="12" t="s">
        <v>793</v>
      </c>
      <c r="F1286" s="12" t="s">
        <v>794</v>
      </c>
      <c r="G1286" s="55">
        <v>1382</v>
      </c>
      <c r="H1286" s="55">
        <v>3732</v>
      </c>
      <c r="I1286" s="2" t="b">
        <f t="shared" si="20"/>
        <v>0</v>
      </c>
    </row>
    <row r="1287" spans="2:9" x14ac:dyDescent="0.25">
      <c r="B1287" s="161">
        <v>41506</v>
      </c>
      <c r="C1287" s="12" t="s">
        <v>792</v>
      </c>
      <c r="D1287" s="12" t="s">
        <v>801</v>
      </c>
      <c r="E1287" s="12" t="s">
        <v>793</v>
      </c>
      <c r="F1287" s="12" t="s">
        <v>799</v>
      </c>
      <c r="G1287" s="55">
        <v>2368</v>
      </c>
      <c r="H1287" s="55">
        <v>5507</v>
      </c>
      <c r="I1287" s="2" t="b">
        <f t="shared" ref="I1287:I1350" si="21">AND($K$9=C1287,$L$9=D1287,$M$9=F1287)</f>
        <v>0</v>
      </c>
    </row>
    <row r="1288" spans="2:9" x14ac:dyDescent="0.25">
      <c r="B1288" s="161">
        <v>41519</v>
      </c>
      <c r="C1288" s="12" t="s">
        <v>802</v>
      </c>
      <c r="D1288" s="12" t="s">
        <v>797</v>
      </c>
      <c r="E1288" s="12" t="s">
        <v>800</v>
      </c>
      <c r="F1288" s="12" t="s">
        <v>799</v>
      </c>
      <c r="G1288" s="55">
        <v>3720</v>
      </c>
      <c r="H1288" s="55">
        <v>4228</v>
      </c>
      <c r="I1288" s="2" t="b">
        <f t="shared" si="21"/>
        <v>0</v>
      </c>
    </row>
    <row r="1289" spans="2:9" x14ac:dyDescent="0.25">
      <c r="B1289" s="161">
        <v>41476</v>
      </c>
      <c r="C1289" s="12" t="s">
        <v>805</v>
      </c>
      <c r="D1289" s="12" t="s">
        <v>652</v>
      </c>
      <c r="E1289" s="12" t="s">
        <v>800</v>
      </c>
      <c r="F1289" s="12" t="s">
        <v>799</v>
      </c>
      <c r="G1289" s="55">
        <v>7044</v>
      </c>
      <c r="H1289" s="55">
        <v>9393</v>
      </c>
      <c r="I1289" s="2" t="b">
        <f t="shared" si="21"/>
        <v>0</v>
      </c>
    </row>
    <row r="1290" spans="2:9" x14ac:dyDescent="0.25">
      <c r="B1290" s="161">
        <v>41186</v>
      </c>
      <c r="C1290" s="12" t="s">
        <v>790</v>
      </c>
      <c r="D1290" s="12" t="s">
        <v>801</v>
      </c>
      <c r="E1290" s="12" t="s">
        <v>793</v>
      </c>
      <c r="F1290" s="12" t="s">
        <v>791</v>
      </c>
      <c r="G1290" s="55">
        <v>3948</v>
      </c>
      <c r="H1290" s="55">
        <v>5262</v>
      </c>
      <c r="I1290" s="2" t="b">
        <f t="shared" si="21"/>
        <v>0</v>
      </c>
    </row>
    <row r="1291" spans="2:9" x14ac:dyDescent="0.25">
      <c r="B1291" s="161">
        <v>41536</v>
      </c>
      <c r="C1291" s="12" t="s">
        <v>792</v>
      </c>
      <c r="D1291" s="12" t="s">
        <v>797</v>
      </c>
      <c r="E1291" s="12" t="s">
        <v>798</v>
      </c>
      <c r="F1291" s="12" t="s">
        <v>794</v>
      </c>
      <c r="G1291" s="55">
        <v>2147</v>
      </c>
      <c r="H1291" s="55">
        <v>2439</v>
      </c>
      <c r="I1291" s="2" t="b">
        <f t="shared" si="21"/>
        <v>0</v>
      </c>
    </row>
    <row r="1292" spans="2:9" x14ac:dyDescent="0.25">
      <c r="B1292" s="161">
        <v>41266</v>
      </c>
      <c r="C1292" s="12" t="s">
        <v>805</v>
      </c>
      <c r="D1292" s="12" t="s">
        <v>652</v>
      </c>
      <c r="E1292" s="12" t="s">
        <v>808</v>
      </c>
      <c r="F1292" s="12" t="s">
        <v>799</v>
      </c>
      <c r="G1292" s="55">
        <v>4490</v>
      </c>
      <c r="H1292" s="55">
        <v>5986</v>
      </c>
      <c r="I1292" s="2" t="b">
        <f t="shared" si="21"/>
        <v>0</v>
      </c>
    </row>
    <row r="1293" spans="2:9" x14ac:dyDescent="0.25">
      <c r="B1293" s="161">
        <v>40922</v>
      </c>
      <c r="C1293" s="12" t="s">
        <v>805</v>
      </c>
      <c r="D1293" s="12" t="s">
        <v>457</v>
      </c>
      <c r="E1293" s="12" t="s">
        <v>808</v>
      </c>
      <c r="F1293" s="12" t="s">
        <v>794</v>
      </c>
      <c r="G1293" s="55">
        <v>7063</v>
      </c>
      <c r="H1293" s="55">
        <v>8027</v>
      </c>
      <c r="I1293" s="2" t="b">
        <f t="shared" si="21"/>
        <v>0</v>
      </c>
    </row>
    <row r="1294" spans="2:9" x14ac:dyDescent="0.25">
      <c r="B1294" s="161">
        <v>41442</v>
      </c>
      <c r="C1294" s="12" t="s">
        <v>802</v>
      </c>
      <c r="D1294" s="12" t="s">
        <v>652</v>
      </c>
      <c r="E1294" s="12" t="s">
        <v>607</v>
      </c>
      <c r="F1294" s="12" t="s">
        <v>799</v>
      </c>
      <c r="G1294" s="55">
        <v>4921</v>
      </c>
      <c r="H1294" s="55">
        <v>7236</v>
      </c>
      <c r="I1294" s="2" t="b">
        <f t="shared" si="21"/>
        <v>0</v>
      </c>
    </row>
    <row r="1295" spans="2:9" x14ac:dyDescent="0.25">
      <c r="B1295" s="161">
        <v>41051</v>
      </c>
      <c r="C1295" s="12" t="s">
        <v>792</v>
      </c>
      <c r="D1295" s="12" t="s">
        <v>652</v>
      </c>
      <c r="E1295" s="12" t="s">
        <v>793</v>
      </c>
      <c r="F1295" s="12" t="s">
        <v>799</v>
      </c>
      <c r="G1295" s="55">
        <v>3965</v>
      </c>
      <c r="H1295" s="55">
        <v>8808</v>
      </c>
      <c r="I1295" s="2" t="b">
        <f t="shared" si="21"/>
        <v>0</v>
      </c>
    </row>
    <row r="1296" spans="2:9" x14ac:dyDescent="0.25">
      <c r="B1296" s="161">
        <v>40979</v>
      </c>
      <c r="C1296" s="12" t="s">
        <v>792</v>
      </c>
      <c r="D1296" s="12" t="s">
        <v>652</v>
      </c>
      <c r="E1296" s="12" t="s">
        <v>806</v>
      </c>
      <c r="F1296" s="12" t="s">
        <v>791</v>
      </c>
      <c r="G1296" s="55">
        <v>3256</v>
      </c>
      <c r="H1296" s="55">
        <v>4787</v>
      </c>
      <c r="I1296" s="2" t="b">
        <f t="shared" si="21"/>
        <v>0</v>
      </c>
    </row>
    <row r="1297" spans="2:9" x14ac:dyDescent="0.25">
      <c r="B1297" s="161">
        <v>40947</v>
      </c>
      <c r="C1297" s="12" t="s">
        <v>805</v>
      </c>
      <c r="D1297" s="12" t="s">
        <v>457</v>
      </c>
      <c r="E1297" s="12" t="s">
        <v>795</v>
      </c>
      <c r="F1297" s="12" t="s">
        <v>796</v>
      </c>
      <c r="G1297" s="55">
        <v>2180</v>
      </c>
      <c r="H1297" s="55">
        <v>2477</v>
      </c>
      <c r="I1297" s="2" t="b">
        <f t="shared" si="21"/>
        <v>0</v>
      </c>
    </row>
    <row r="1298" spans="2:9" x14ac:dyDescent="0.25">
      <c r="B1298" s="161">
        <v>41499</v>
      </c>
      <c r="C1298" s="12" t="s">
        <v>802</v>
      </c>
      <c r="D1298" s="12" t="s">
        <v>652</v>
      </c>
      <c r="E1298" s="12" t="s">
        <v>808</v>
      </c>
      <c r="F1298" s="12" t="s">
        <v>791</v>
      </c>
      <c r="G1298" s="55">
        <v>2793</v>
      </c>
      <c r="H1298" s="55">
        <v>7547</v>
      </c>
      <c r="I1298" s="2" t="b">
        <f t="shared" si="21"/>
        <v>0</v>
      </c>
    </row>
    <row r="1299" spans="2:9" x14ac:dyDescent="0.25">
      <c r="B1299" s="161">
        <v>41084</v>
      </c>
      <c r="C1299" s="12" t="s">
        <v>792</v>
      </c>
      <c r="D1299" s="12" t="s">
        <v>801</v>
      </c>
      <c r="E1299" s="12" t="s">
        <v>800</v>
      </c>
      <c r="F1299" s="12" t="s">
        <v>791</v>
      </c>
      <c r="G1299" s="55">
        <v>1713</v>
      </c>
      <c r="H1299" s="55">
        <v>1947</v>
      </c>
      <c r="I1299" s="2" t="b">
        <f t="shared" si="21"/>
        <v>0</v>
      </c>
    </row>
    <row r="1300" spans="2:9" x14ac:dyDescent="0.25">
      <c r="B1300" s="161">
        <v>41146</v>
      </c>
      <c r="C1300" s="12" t="s">
        <v>792</v>
      </c>
      <c r="D1300" s="12" t="s">
        <v>797</v>
      </c>
      <c r="E1300" s="12" t="s">
        <v>804</v>
      </c>
      <c r="F1300" s="12" t="s">
        <v>796</v>
      </c>
      <c r="G1300" s="55">
        <v>6362</v>
      </c>
      <c r="H1300" s="55">
        <v>7231</v>
      </c>
      <c r="I1300" s="2" t="b">
        <f t="shared" si="21"/>
        <v>0</v>
      </c>
    </row>
    <row r="1301" spans="2:9" x14ac:dyDescent="0.25">
      <c r="B1301" s="161">
        <v>41617</v>
      </c>
      <c r="C1301" s="12" t="s">
        <v>805</v>
      </c>
      <c r="D1301" s="12" t="s">
        <v>797</v>
      </c>
      <c r="E1301" s="12" t="s">
        <v>806</v>
      </c>
      <c r="F1301" s="12" t="s">
        <v>796</v>
      </c>
      <c r="G1301" s="55">
        <v>6620</v>
      </c>
      <c r="H1301" s="55">
        <v>9735</v>
      </c>
      <c r="I1301" s="2" t="b">
        <f t="shared" si="21"/>
        <v>0</v>
      </c>
    </row>
    <row r="1302" spans="2:9" x14ac:dyDescent="0.25">
      <c r="B1302" s="161">
        <v>41177</v>
      </c>
      <c r="C1302" s="12" t="s">
        <v>790</v>
      </c>
      <c r="D1302" s="12" t="s">
        <v>801</v>
      </c>
      <c r="E1302" s="12" t="s">
        <v>808</v>
      </c>
      <c r="F1302" s="12" t="s">
        <v>794</v>
      </c>
      <c r="G1302" s="55">
        <v>4154</v>
      </c>
      <c r="H1302" s="55">
        <v>9228</v>
      </c>
      <c r="I1302" s="2" t="b">
        <f t="shared" si="21"/>
        <v>0</v>
      </c>
    </row>
    <row r="1303" spans="2:9" x14ac:dyDescent="0.25">
      <c r="B1303" s="161">
        <v>41205</v>
      </c>
      <c r="C1303" s="12" t="s">
        <v>790</v>
      </c>
      <c r="D1303" s="12" t="s">
        <v>457</v>
      </c>
      <c r="E1303" s="12" t="s">
        <v>795</v>
      </c>
      <c r="F1303" s="12" t="s">
        <v>791</v>
      </c>
      <c r="G1303" s="55">
        <v>1980</v>
      </c>
      <c r="H1303" s="55">
        <v>2250</v>
      </c>
      <c r="I1303" s="2" t="b">
        <f t="shared" si="21"/>
        <v>0</v>
      </c>
    </row>
    <row r="1304" spans="2:9" x14ac:dyDescent="0.25">
      <c r="B1304" s="161">
        <v>41443</v>
      </c>
      <c r="C1304" s="12" t="s">
        <v>802</v>
      </c>
      <c r="D1304" s="12" t="s">
        <v>457</v>
      </c>
      <c r="E1304" s="12" t="s">
        <v>800</v>
      </c>
      <c r="F1304" s="12" t="s">
        <v>791</v>
      </c>
      <c r="G1304" s="55">
        <v>2043</v>
      </c>
      <c r="H1304" s="55">
        <v>3713</v>
      </c>
      <c r="I1304" s="2" t="b">
        <f t="shared" si="21"/>
        <v>0</v>
      </c>
    </row>
    <row r="1305" spans="2:9" x14ac:dyDescent="0.25">
      <c r="B1305" s="161">
        <v>41222</v>
      </c>
      <c r="C1305" s="12" t="s">
        <v>792</v>
      </c>
      <c r="D1305" s="12" t="s">
        <v>801</v>
      </c>
      <c r="E1305" s="12" t="s">
        <v>487</v>
      </c>
      <c r="F1305" s="12" t="s">
        <v>791</v>
      </c>
      <c r="G1305" s="55">
        <v>2246</v>
      </c>
      <c r="H1305" s="55">
        <v>3302</v>
      </c>
      <c r="I1305" s="2" t="b">
        <f t="shared" si="21"/>
        <v>0</v>
      </c>
    </row>
    <row r="1306" spans="2:9" x14ac:dyDescent="0.25">
      <c r="B1306" s="161">
        <v>41115</v>
      </c>
      <c r="C1306" s="12" t="s">
        <v>805</v>
      </c>
      <c r="D1306" s="12" t="s">
        <v>457</v>
      </c>
      <c r="E1306" s="12" t="s">
        <v>804</v>
      </c>
      <c r="F1306" s="12" t="s">
        <v>796</v>
      </c>
      <c r="G1306" s="55">
        <v>1873</v>
      </c>
      <c r="H1306" s="55">
        <v>2129</v>
      </c>
      <c r="I1306" s="2" t="b">
        <f t="shared" si="21"/>
        <v>0</v>
      </c>
    </row>
    <row r="1307" spans="2:9" x14ac:dyDescent="0.25">
      <c r="B1307" s="161">
        <v>41220</v>
      </c>
      <c r="C1307" s="12" t="s">
        <v>790</v>
      </c>
      <c r="D1307" s="12" t="s">
        <v>652</v>
      </c>
      <c r="E1307" s="12" t="s">
        <v>806</v>
      </c>
      <c r="F1307" s="12" t="s">
        <v>794</v>
      </c>
      <c r="G1307" s="55">
        <v>2972</v>
      </c>
      <c r="H1307" s="55">
        <v>4372</v>
      </c>
      <c r="I1307" s="2" t="b">
        <f t="shared" si="21"/>
        <v>0</v>
      </c>
    </row>
    <row r="1308" spans="2:9" x14ac:dyDescent="0.25">
      <c r="B1308" s="161">
        <v>41409</v>
      </c>
      <c r="C1308" s="12" t="s">
        <v>802</v>
      </c>
      <c r="D1308" s="12" t="s">
        <v>801</v>
      </c>
      <c r="E1308" s="12" t="s">
        <v>806</v>
      </c>
      <c r="F1308" s="12" t="s">
        <v>794</v>
      </c>
      <c r="G1308" s="55">
        <v>5429</v>
      </c>
      <c r="H1308" s="55">
        <v>9201</v>
      </c>
      <c r="I1308" s="2" t="b">
        <f t="shared" si="21"/>
        <v>0</v>
      </c>
    </row>
    <row r="1309" spans="2:9" x14ac:dyDescent="0.25">
      <c r="B1309" s="161">
        <v>41601</v>
      </c>
      <c r="C1309" s="12" t="s">
        <v>805</v>
      </c>
      <c r="D1309" s="12" t="s">
        <v>457</v>
      </c>
      <c r="E1309" s="12" t="s">
        <v>807</v>
      </c>
      <c r="F1309" s="12" t="s">
        <v>796</v>
      </c>
      <c r="G1309" s="55">
        <v>1104</v>
      </c>
      <c r="H1309" s="55">
        <v>2984</v>
      </c>
      <c r="I1309" s="2" t="b">
        <f t="shared" si="21"/>
        <v>0</v>
      </c>
    </row>
    <row r="1310" spans="2:9" x14ac:dyDescent="0.25">
      <c r="B1310" s="161">
        <v>40953</v>
      </c>
      <c r="C1310" s="12" t="s">
        <v>802</v>
      </c>
      <c r="D1310" s="12" t="s">
        <v>801</v>
      </c>
      <c r="E1310" s="12" t="s">
        <v>808</v>
      </c>
      <c r="F1310" s="12" t="s">
        <v>791</v>
      </c>
      <c r="G1310" s="55">
        <v>8319</v>
      </c>
      <c r="H1310" s="55">
        <v>8898</v>
      </c>
      <c r="I1310" s="2" t="b">
        <f t="shared" si="21"/>
        <v>0</v>
      </c>
    </row>
    <row r="1311" spans="2:9" x14ac:dyDescent="0.25">
      <c r="B1311" s="161">
        <v>41222</v>
      </c>
      <c r="C1311" s="12" t="s">
        <v>792</v>
      </c>
      <c r="D1311" s="12" t="s">
        <v>801</v>
      </c>
      <c r="E1311" s="12" t="s">
        <v>607</v>
      </c>
      <c r="F1311" s="12" t="s">
        <v>791</v>
      </c>
      <c r="G1311" s="55">
        <v>3090</v>
      </c>
      <c r="H1311" s="55">
        <v>5328</v>
      </c>
      <c r="I1311" s="2" t="b">
        <f t="shared" si="21"/>
        <v>0</v>
      </c>
    </row>
    <row r="1312" spans="2:9" x14ac:dyDescent="0.25">
      <c r="B1312" s="161">
        <v>41252</v>
      </c>
      <c r="C1312" s="12" t="s">
        <v>805</v>
      </c>
      <c r="D1312" s="12" t="s">
        <v>457</v>
      </c>
      <c r="E1312" s="12" t="s">
        <v>804</v>
      </c>
      <c r="F1312" s="12" t="s">
        <v>796</v>
      </c>
      <c r="G1312" s="55">
        <v>2609</v>
      </c>
      <c r="H1312" s="55">
        <v>6064</v>
      </c>
      <c r="I1312" s="2" t="b">
        <f t="shared" si="21"/>
        <v>0</v>
      </c>
    </row>
    <row r="1313" spans="2:9" x14ac:dyDescent="0.25">
      <c r="B1313" s="161">
        <v>41321</v>
      </c>
      <c r="C1313" s="12" t="s">
        <v>792</v>
      </c>
      <c r="D1313" s="12" t="s">
        <v>457</v>
      </c>
      <c r="E1313" s="12" t="s">
        <v>803</v>
      </c>
      <c r="F1313" s="12" t="s">
        <v>791</v>
      </c>
      <c r="G1313" s="55">
        <v>2236</v>
      </c>
      <c r="H1313" s="55">
        <v>2541</v>
      </c>
      <c r="I1313" s="2" t="b">
        <f t="shared" si="21"/>
        <v>0</v>
      </c>
    </row>
    <row r="1314" spans="2:9" x14ac:dyDescent="0.25">
      <c r="B1314" s="161">
        <v>41526</v>
      </c>
      <c r="C1314" s="12" t="s">
        <v>805</v>
      </c>
      <c r="D1314" s="12" t="s">
        <v>801</v>
      </c>
      <c r="E1314" s="12" t="s">
        <v>800</v>
      </c>
      <c r="F1314" s="12" t="s">
        <v>794</v>
      </c>
      <c r="G1314" s="55">
        <v>6993</v>
      </c>
      <c r="H1314" s="55">
        <v>7946</v>
      </c>
      <c r="I1314" s="2" t="b">
        <f t="shared" si="21"/>
        <v>0</v>
      </c>
    </row>
    <row r="1315" spans="2:9" x14ac:dyDescent="0.25">
      <c r="B1315" s="161">
        <v>40917</v>
      </c>
      <c r="C1315" s="12" t="s">
        <v>792</v>
      </c>
      <c r="D1315" s="12" t="s">
        <v>457</v>
      </c>
      <c r="E1315" s="12" t="s">
        <v>806</v>
      </c>
      <c r="F1315" s="12" t="s">
        <v>794</v>
      </c>
      <c r="G1315" s="55">
        <v>5833</v>
      </c>
      <c r="H1315" s="55">
        <v>6628</v>
      </c>
      <c r="I1315" s="2" t="b">
        <f t="shared" si="21"/>
        <v>1</v>
      </c>
    </row>
    <row r="1316" spans="2:9" x14ac:dyDescent="0.25">
      <c r="B1316" s="161">
        <v>41188</v>
      </c>
      <c r="C1316" s="12" t="s">
        <v>790</v>
      </c>
      <c r="D1316" s="12" t="s">
        <v>652</v>
      </c>
      <c r="E1316" s="12" t="s">
        <v>607</v>
      </c>
      <c r="F1316" s="12" t="s">
        <v>794</v>
      </c>
      <c r="G1316" s="55">
        <v>5755</v>
      </c>
      <c r="H1316" s="55">
        <v>6154</v>
      </c>
      <c r="I1316" s="2" t="b">
        <f t="shared" si="21"/>
        <v>0</v>
      </c>
    </row>
    <row r="1317" spans="2:9" x14ac:dyDescent="0.25">
      <c r="B1317" s="161">
        <v>41423</v>
      </c>
      <c r="C1317" s="12" t="s">
        <v>792</v>
      </c>
      <c r="D1317" s="12" t="s">
        <v>797</v>
      </c>
      <c r="E1317" s="12" t="s">
        <v>809</v>
      </c>
      <c r="F1317" s="12" t="s">
        <v>791</v>
      </c>
      <c r="G1317" s="55">
        <v>4263</v>
      </c>
      <c r="H1317" s="55">
        <v>6270</v>
      </c>
      <c r="I1317" s="2" t="b">
        <f t="shared" si="21"/>
        <v>0</v>
      </c>
    </row>
    <row r="1318" spans="2:9" x14ac:dyDescent="0.25">
      <c r="B1318" s="161">
        <v>41348</v>
      </c>
      <c r="C1318" s="12" t="s">
        <v>802</v>
      </c>
      <c r="D1318" s="12" t="s">
        <v>801</v>
      </c>
      <c r="E1318" s="12" t="s">
        <v>806</v>
      </c>
      <c r="F1318" s="12" t="s">
        <v>799</v>
      </c>
      <c r="G1318" s="55">
        <v>6240</v>
      </c>
      <c r="H1318" s="55">
        <v>9177</v>
      </c>
      <c r="I1318" s="2" t="b">
        <f t="shared" si="21"/>
        <v>0</v>
      </c>
    </row>
    <row r="1319" spans="2:9" x14ac:dyDescent="0.25">
      <c r="B1319" s="161">
        <v>41406</v>
      </c>
      <c r="C1319" s="12" t="s">
        <v>792</v>
      </c>
      <c r="D1319" s="12" t="s">
        <v>801</v>
      </c>
      <c r="E1319" s="12" t="s">
        <v>808</v>
      </c>
      <c r="F1319" s="12" t="s">
        <v>796</v>
      </c>
      <c r="G1319" s="55">
        <v>366</v>
      </c>
      <c r="H1319" s="55">
        <v>392</v>
      </c>
      <c r="I1319" s="2" t="b">
        <f t="shared" si="21"/>
        <v>0</v>
      </c>
    </row>
    <row r="1320" spans="2:9" x14ac:dyDescent="0.25">
      <c r="B1320" s="161">
        <v>41456</v>
      </c>
      <c r="C1320" s="12" t="s">
        <v>805</v>
      </c>
      <c r="D1320" s="12" t="s">
        <v>801</v>
      </c>
      <c r="E1320" s="12" t="s">
        <v>487</v>
      </c>
      <c r="F1320" s="12" t="s">
        <v>794</v>
      </c>
      <c r="G1320" s="55">
        <v>3962</v>
      </c>
      <c r="H1320" s="55">
        <v>7202</v>
      </c>
      <c r="I1320" s="2" t="b">
        <f t="shared" si="21"/>
        <v>0</v>
      </c>
    </row>
    <row r="1321" spans="2:9" x14ac:dyDescent="0.25">
      <c r="B1321" s="161">
        <v>41211</v>
      </c>
      <c r="C1321" s="12" t="s">
        <v>790</v>
      </c>
      <c r="D1321" s="12" t="s">
        <v>797</v>
      </c>
      <c r="E1321" s="12" t="s">
        <v>806</v>
      </c>
      <c r="F1321" s="12" t="s">
        <v>794</v>
      </c>
      <c r="G1321" s="55">
        <v>89</v>
      </c>
      <c r="H1321" s="55">
        <v>152</v>
      </c>
      <c r="I1321" s="2" t="b">
        <f t="shared" si="21"/>
        <v>0</v>
      </c>
    </row>
    <row r="1322" spans="2:9" x14ac:dyDescent="0.25">
      <c r="B1322" s="161">
        <v>41270</v>
      </c>
      <c r="C1322" s="12" t="s">
        <v>802</v>
      </c>
      <c r="D1322" s="12" t="s">
        <v>457</v>
      </c>
      <c r="E1322" s="12" t="s">
        <v>800</v>
      </c>
      <c r="F1322" s="12" t="s">
        <v>791</v>
      </c>
      <c r="G1322" s="55">
        <v>2327</v>
      </c>
      <c r="H1322" s="55">
        <v>5169</v>
      </c>
      <c r="I1322" s="2" t="b">
        <f t="shared" si="21"/>
        <v>0</v>
      </c>
    </row>
    <row r="1323" spans="2:9" x14ac:dyDescent="0.25">
      <c r="B1323" s="161">
        <v>41163</v>
      </c>
      <c r="C1323" s="12" t="s">
        <v>805</v>
      </c>
      <c r="D1323" s="12" t="s">
        <v>801</v>
      </c>
      <c r="E1323" s="12" t="s">
        <v>808</v>
      </c>
      <c r="F1323" s="12" t="s">
        <v>791</v>
      </c>
      <c r="G1323" s="55">
        <v>2716</v>
      </c>
      <c r="H1323" s="55">
        <v>4683</v>
      </c>
      <c r="I1323" s="2" t="b">
        <f t="shared" si="21"/>
        <v>0</v>
      </c>
    </row>
    <row r="1324" spans="2:9" x14ac:dyDescent="0.25">
      <c r="B1324" s="161">
        <v>41432</v>
      </c>
      <c r="C1324" s="12" t="s">
        <v>805</v>
      </c>
      <c r="D1324" s="12" t="s">
        <v>652</v>
      </c>
      <c r="E1324" s="12" t="s">
        <v>806</v>
      </c>
      <c r="F1324" s="12" t="s">
        <v>791</v>
      </c>
      <c r="G1324" s="55">
        <v>4688</v>
      </c>
      <c r="H1324" s="55">
        <v>8083</v>
      </c>
      <c r="I1324" s="2" t="b">
        <f t="shared" si="21"/>
        <v>0</v>
      </c>
    </row>
    <row r="1325" spans="2:9" x14ac:dyDescent="0.25">
      <c r="B1325" s="161">
        <v>41185</v>
      </c>
      <c r="C1325" s="12" t="s">
        <v>792</v>
      </c>
      <c r="D1325" s="12" t="s">
        <v>652</v>
      </c>
      <c r="E1325" s="12" t="s">
        <v>798</v>
      </c>
      <c r="F1325" s="12" t="s">
        <v>794</v>
      </c>
      <c r="G1325" s="55">
        <v>4853</v>
      </c>
      <c r="H1325" s="55">
        <v>7138</v>
      </c>
      <c r="I1325" s="2" t="b">
        <f t="shared" si="21"/>
        <v>0</v>
      </c>
    </row>
    <row r="1326" spans="2:9" x14ac:dyDescent="0.25">
      <c r="B1326" s="161">
        <v>41317</v>
      </c>
      <c r="C1326" s="12" t="s">
        <v>805</v>
      </c>
      <c r="D1326" s="12" t="s">
        <v>797</v>
      </c>
      <c r="E1326" s="12" t="s">
        <v>795</v>
      </c>
      <c r="F1326" s="12" t="s">
        <v>799</v>
      </c>
      <c r="G1326" s="55">
        <v>1102</v>
      </c>
      <c r="H1326" s="55">
        <v>1468</v>
      </c>
      <c r="I1326" s="2" t="b">
        <f t="shared" si="21"/>
        <v>0</v>
      </c>
    </row>
    <row r="1327" spans="2:9" x14ac:dyDescent="0.25">
      <c r="B1327" s="161">
        <v>41066</v>
      </c>
      <c r="C1327" s="12" t="s">
        <v>790</v>
      </c>
      <c r="D1327" s="12" t="s">
        <v>457</v>
      </c>
      <c r="E1327" s="12" t="s">
        <v>806</v>
      </c>
      <c r="F1327" s="12" t="s">
        <v>799</v>
      </c>
      <c r="G1327" s="55">
        <v>1803</v>
      </c>
      <c r="H1327" s="55">
        <v>2050</v>
      </c>
      <c r="I1327" s="2" t="b">
        <f t="shared" si="21"/>
        <v>0</v>
      </c>
    </row>
    <row r="1328" spans="2:9" x14ac:dyDescent="0.25">
      <c r="B1328" s="161">
        <v>41302</v>
      </c>
      <c r="C1328" s="12" t="s">
        <v>790</v>
      </c>
      <c r="D1328" s="12" t="s">
        <v>652</v>
      </c>
      <c r="E1328" s="12" t="s">
        <v>807</v>
      </c>
      <c r="F1328" s="12" t="s">
        <v>796</v>
      </c>
      <c r="G1328" s="55">
        <v>1918</v>
      </c>
      <c r="H1328" s="55">
        <v>5184</v>
      </c>
      <c r="I1328" s="2" t="b">
        <f t="shared" si="21"/>
        <v>0</v>
      </c>
    </row>
    <row r="1329" spans="2:9" x14ac:dyDescent="0.25">
      <c r="B1329" s="161">
        <v>41404</v>
      </c>
      <c r="C1329" s="12" t="s">
        <v>802</v>
      </c>
      <c r="D1329" s="12" t="s">
        <v>797</v>
      </c>
      <c r="E1329" s="12" t="s">
        <v>806</v>
      </c>
      <c r="F1329" s="12" t="s">
        <v>796</v>
      </c>
      <c r="G1329" s="55">
        <v>3476</v>
      </c>
      <c r="H1329" s="55">
        <v>6321</v>
      </c>
      <c r="I1329" s="2" t="b">
        <f t="shared" si="21"/>
        <v>0</v>
      </c>
    </row>
    <row r="1330" spans="2:9" x14ac:dyDescent="0.25">
      <c r="B1330" s="161">
        <v>41155</v>
      </c>
      <c r="C1330" s="12" t="s">
        <v>792</v>
      </c>
      <c r="D1330" s="12" t="s">
        <v>652</v>
      </c>
      <c r="E1330" s="12" t="s">
        <v>487</v>
      </c>
      <c r="F1330" s="12" t="s">
        <v>791</v>
      </c>
      <c r="G1330" s="55">
        <v>3515</v>
      </c>
      <c r="H1330" s="55">
        <v>5169</v>
      </c>
      <c r="I1330" s="2" t="b">
        <f t="shared" si="21"/>
        <v>0</v>
      </c>
    </row>
    <row r="1331" spans="2:9" x14ac:dyDescent="0.25">
      <c r="B1331" s="161">
        <v>41595</v>
      </c>
      <c r="C1331" s="12" t="s">
        <v>805</v>
      </c>
      <c r="D1331" s="12" t="s">
        <v>797</v>
      </c>
      <c r="E1331" s="12" t="s">
        <v>487</v>
      </c>
      <c r="F1331" s="12" t="s">
        <v>794</v>
      </c>
      <c r="G1331" s="55">
        <v>4996</v>
      </c>
      <c r="H1331" s="55">
        <v>8469</v>
      </c>
      <c r="I1331" s="2" t="b">
        <f t="shared" si="21"/>
        <v>0</v>
      </c>
    </row>
    <row r="1332" spans="2:9" x14ac:dyDescent="0.25">
      <c r="B1332" s="161">
        <v>41392</v>
      </c>
      <c r="C1332" s="12" t="s">
        <v>790</v>
      </c>
      <c r="D1332" s="12" t="s">
        <v>652</v>
      </c>
      <c r="E1332" s="12" t="s">
        <v>807</v>
      </c>
      <c r="F1332" s="12" t="s">
        <v>794</v>
      </c>
      <c r="G1332" s="55">
        <v>2660</v>
      </c>
      <c r="H1332" s="55">
        <v>4508</v>
      </c>
      <c r="I1332" s="2" t="b">
        <f t="shared" si="21"/>
        <v>0</v>
      </c>
    </row>
    <row r="1333" spans="2:9" x14ac:dyDescent="0.25">
      <c r="B1333" s="161">
        <v>41238</v>
      </c>
      <c r="C1333" s="12" t="s">
        <v>802</v>
      </c>
      <c r="D1333" s="12" t="s">
        <v>652</v>
      </c>
      <c r="E1333" s="12" t="s">
        <v>487</v>
      </c>
      <c r="F1333" s="12" t="s">
        <v>794</v>
      </c>
      <c r="G1333" s="55">
        <v>3067</v>
      </c>
      <c r="H1333" s="55">
        <v>8289</v>
      </c>
      <c r="I1333" s="2" t="b">
        <f t="shared" si="21"/>
        <v>0</v>
      </c>
    </row>
    <row r="1334" spans="2:9" x14ac:dyDescent="0.25">
      <c r="B1334" s="161">
        <v>41505</v>
      </c>
      <c r="C1334" s="12" t="s">
        <v>802</v>
      </c>
      <c r="D1334" s="12" t="s">
        <v>457</v>
      </c>
      <c r="E1334" s="12" t="s">
        <v>809</v>
      </c>
      <c r="F1334" s="12" t="s">
        <v>796</v>
      </c>
      <c r="G1334" s="55">
        <v>1427</v>
      </c>
      <c r="H1334" s="55">
        <v>3857</v>
      </c>
      <c r="I1334" s="2" t="b">
        <f t="shared" si="21"/>
        <v>0</v>
      </c>
    </row>
    <row r="1335" spans="2:9" x14ac:dyDescent="0.25">
      <c r="B1335" s="161">
        <v>41368</v>
      </c>
      <c r="C1335" s="12" t="s">
        <v>790</v>
      </c>
      <c r="D1335" s="12" t="s">
        <v>801</v>
      </c>
      <c r="E1335" s="12" t="s">
        <v>487</v>
      </c>
      <c r="F1335" s="12" t="s">
        <v>799</v>
      </c>
      <c r="G1335" s="55">
        <v>4973</v>
      </c>
      <c r="H1335" s="55">
        <v>9044</v>
      </c>
      <c r="I1335" s="2" t="b">
        <f t="shared" si="21"/>
        <v>0</v>
      </c>
    </row>
    <row r="1336" spans="2:9" x14ac:dyDescent="0.25">
      <c r="B1336" s="161">
        <v>41364</v>
      </c>
      <c r="C1336" s="12" t="s">
        <v>802</v>
      </c>
      <c r="D1336" s="12" t="s">
        <v>797</v>
      </c>
      <c r="E1336" s="12" t="s">
        <v>809</v>
      </c>
      <c r="F1336" s="12" t="s">
        <v>791</v>
      </c>
      <c r="G1336" s="55">
        <v>2900</v>
      </c>
      <c r="H1336" s="55">
        <v>3296</v>
      </c>
      <c r="I1336" s="2" t="b">
        <f t="shared" si="21"/>
        <v>0</v>
      </c>
    </row>
    <row r="1337" spans="2:9" x14ac:dyDescent="0.25">
      <c r="B1337" s="161">
        <v>41258</v>
      </c>
      <c r="C1337" s="12" t="s">
        <v>792</v>
      </c>
      <c r="D1337" s="12" t="s">
        <v>797</v>
      </c>
      <c r="E1337" s="12" t="s">
        <v>798</v>
      </c>
      <c r="F1337" s="12" t="s">
        <v>791</v>
      </c>
      <c r="G1337" s="55">
        <v>1839</v>
      </c>
      <c r="H1337" s="55">
        <v>4275</v>
      </c>
      <c r="I1337" s="2" t="b">
        <f t="shared" si="21"/>
        <v>0</v>
      </c>
    </row>
    <row r="1338" spans="2:9" x14ac:dyDescent="0.25">
      <c r="B1338" s="161">
        <v>41309</v>
      </c>
      <c r="C1338" s="12" t="s">
        <v>790</v>
      </c>
      <c r="D1338" s="12" t="s">
        <v>457</v>
      </c>
      <c r="E1338" s="12" t="s">
        <v>806</v>
      </c>
      <c r="F1338" s="12" t="s">
        <v>796</v>
      </c>
      <c r="G1338" s="55">
        <v>4458</v>
      </c>
      <c r="H1338" s="55">
        <v>4769</v>
      </c>
      <c r="I1338" s="2" t="b">
        <f t="shared" si="21"/>
        <v>0</v>
      </c>
    </row>
    <row r="1339" spans="2:9" x14ac:dyDescent="0.25">
      <c r="B1339" s="161">
        <v>41031</v>
      </c>
      <c r="C1339" s="12" t="s">
        <v>790</v>
      </c>
      <c r="D1339" s="12" t="s">
        <v>801</v>
      </c>
      <c r="E1339" s="12" t="s">
        <v>806</v>
      </c>
      <c r="F1339" s="12" t="s">
        <v>796</v>
      </c>
      <c r="G1339" s="55">
        <v>1266</v>
      </c>
      <c r="H1339" s="55">
        <v>1439</v>
      </c>
      <c r="I1339" s="2" t="b">
        <f t="shared" si="21"/>
        <v>0</v>
      </c>
    </row>
    <row r="1340" spans="2:9" x14ac:dyDescent="0.25">
      <c r="B1340" s="161">
        <v>41398</v>
      </c>
      <c r="C1340" s="12" t="s">
        <v>790</v>
      </c>
      <c r="D1340" s="12" t="s">
        <v>652</v>
      </c>
      <c r="E1340" s="12" t="s">
        <v>808</v>
      </c>
      <c r="F1340" s="12" t="s">
        <v>794</v>
      </c>
      <c r="G1340" s="55">
        <v>5376</v>
      </c>
      <c r="H1340" s="55">
        <v>9113</v>
      </c>
      <c r="I1340" s="2" t="b">
        <f t="shared" si="21"/>
        <v>0</v>
      </c>
    </row>
    <row r="1341" spans="2:9" x14ac:dyDescent="0.25">
      <c r="B1341" s="161">
        <v>41113</v>
      </c>
      <c r="C1341" s="12" t="s">
        <v>792</v>
      </c>
      <c r="D1341" s="12" t="s">
        <v>652</v>
      </c>
      <c r="E1341" s="12" t="s">
        <v>808</v>
      </c>
      <c r="F1341" s="12" t="s">
        <v>799</v>
      </c>
      <c r="G1341" s="55">
        <v>3914</v>
      </c>
      <c r="H1341" s="55">
        <v>8697</v>
      </c>
      <c r="I1341" s="2" t="b">
        <f t="shared" si="21"/>
        <v>0</v>
      </c>
    </row>
    <row r="1342" spans="2:9" x14ac:dyDescent="0.25">
      <c r="B1342" s="161">
        <v>41358</v>
      </c>
      <c r="C1342" s="12" t="s">
        <v>802</v>
      </c>
      <c r="D1342" s="12" t="s">
        <v>801</v>
      </c>
      <c r="E1342" s="12" t="s">
        <v>803</v>
      </c>
      <c r="F1342" s="12" t="s">
        <v>796</v>
      </c>
      <c r="G1342" s="55">
        <v>3384</v>
      </c>
      <c r="H1342" s="55">
        <v>4976</v>
      </c>
      <c r="I1342" s="2" t="b">
        <f t="shared" si="21"/>
        <v>0</v>
      </c>
    </row>
    <row r="1343" spans="2:9" x14ac:dyDescent="0.25">
      <c r="B1343" s="161">
        <v>41011</v>
      </c>
      <c r="C1343" s="12" t="s">
        <v>802</v>
      </c>
      <c r="D1343" s="12" t="s">
        <v>797</v>
      </c>
      <c r="E1343" s="12" t="s">
        <v>487</v>
      </c>
      <c r="F1343" s="12" t="s">
        <v>796</v>
      </c>
      <c r="G1343" s="55">
        <v>753</v>
      </c>
      <c r="H1343" s="55">
        <v>1672</v>
      </c>
      <c r="I1343" s="2" t="b">
        <f t="shared" si="21"/>
        <v>0</v>
      </c>
    </row>
    <row r="1344" spans="2:9" x14ac:dyDescent="0.25">
      <c r="B1344" s="161">
        <v>41085</v>
      </c>
      <c r="C1344" s="12" t="s">
        <v>790</v>
      </c>
      <c r="D1344" s="12" t="s">
        <v>797</v>
      </c>
      <c r="E1344" s="12" t="s">
        <v>804</v>
      </c>
      <c r="F1344" s="12" t="s">
        <v>799</v>
      </c>
      <c r="G1344" s="55">
        <v>3634</v>
      </c>
      <c r="H1344" s="55">
        <v>6606</v>
      </c>
      <c r="I1344" s="2" t="b">
        <f t="shared" si="21"/>
        <v>0</v>
      </c>
    </row>
    <row r="1345" spans="2:9" x14ac:dyDescent="0.25">
      <c r="B1345" s="161">
        <v>41168</v>
      </c>
      <c r="C1345" s="12" t="s">
        <v>805</v>
      </c>
      <c r="D1345" s="12" t="s">
        <v>652</v>
      </c>
      <c r="E1345" s="12" t="s">
        <v>804</v>
      </c>
      <c r="F1345" s="12" t="s">
        <v>796</v>
      </c>
      <c r="G1345" s="55">
        <v>5286</v>
      </c>
      <c r="H1345" s="55">
        <v>7049</v>
      </c>
      <c r="I1345" s="2" t="b">
        <f t="shared" si="21"/>
        <v>0</v>
      </c>
    </row>
    <row r="1346" spans="2:9" x14ac:dyDescent="0.25">
      <c r="B1346" s="161">
        <v>40995</v>
      </c>
      <c r="C1346" s="12" t="s">
        <v>790</v>
      </c>
      <c r="D1346" s="12" t="s">
        <v>457</v>
      </c>
      <c r="E1346" s="12" t="s">
        <v>807</v>
      </c>
      <c r="F1346" s="12" t="s">
        <v>799</v>
      </c>
      <c r="G1346" s="55">
        <v>5945</v>
      </c>
      <c r="H1346" s="55">
        <v>6755</v>
      </c>
      <c r="I1346" s="2" t="b">
        <f t="shared" si="21"/>
        <v>0</v>
      </c>
    </row>
    <row r="1347" spans="2:9" x14ac:dyDescent="0.25">
      <c r="B1347" s="161">
        <v>41078</v>
      </c>
      <c r="C1347" s="12" t="s">
        <v>805</v>
      </c>
      <c r="D1347" s="12" t="s">
        <v>457</v>
      </c>
      <c r="E1347" s="12" t="s">
        <v>487</v>
      </c>
      <c r="F1347" s="12" t="s">
        <v>794</v>
      </c>
      <c r="G1347" s="55">
        <v>176</v>
      </c>
      <c r="H1347" s="55">
        <v>298</v>
      </c>
      <c r="I1347" s="2" t="b">
        <f t="shared" si="21"/>
        <v>0</v>
      </c>
    </row>
    <row r="1348" spans="2:9" x14ac:dyDescent="0.25">
      <c r="B1348" s="161">
        <v>41472</v>
      </c>
      <c r="C1348" s="12" t="s">
        <v>802</v>
      </c>
      <c r="D1348" s="12" t="s">
        <v>457</v>
      </c>
      <c r="E1348" s="12" t="s">
        <v>809</v>
      </c>
      <c r="F1348" s="12" t="s">
        <v>791</v>
      </c>
      <c r="G1348" s="55">
        <v>5457</v>
      </c>
      <c r="H1348" s="55">
        <v>9247</v>
      </c>
      <c r="I1348" s="2" t="b">
        <f t="shared" si="21"/>
        <v>0</v>
      </c>
    </row>
    <row r="1349" spans="2:9" x14ac:dyDescent="0.25">
      <c r="B1349" s="161">
        <v>41508</v>
      </c>
      <c r="C1349" s="12" t="s">
        <v>805</v>
      </c>
      <c r="D1349" s="12" t="s">
        <v>457</v>
      </c>
      <c r="E1349" s="12" t="s">
        <v>806</v>
      </c>
      <c r="F1349" s="12" t="s">
        <v>794</v>
      </c>
      <c r="G1349" s="55">
        <v>3449</v>
      </c>
      <c r="H1349" s="55">
        <v>9323</v>
      </c>
      <c r="I1349" s="2" t="b">
        <f t="shared" si="21"/>
        <v>0</v>
      </c>
    </row>
    <row r="1350" spans="2:9" x14ac:dyDescent="0.25">
      <c r="B1350" s="161">
        <v>41069</v>
      </c>
      <c r="C1350" s="12" t="s">
        <v>790</v>
      </c>
      <c r="D1350" s="12" t="s">
        <v>652</v>
      </c>
      <c r="E1350" s="12" t="s">
        <v>487</v>
      </c>
      <c r="F1350" s="12" t="s">
        <v>794</v>
      </c>
      <c r="G1350" s="55">
        <v>1382</v>
      </c>
      <c r="H1350" s="55">
        <v>2383</v>
      </c>
      <c r="I1350" s="2" t="b">
        <f t="shared" si="21"/>
        <v>0</v>
      </c>
    </row>
    <row r="1351" spans="2:9" x14ac:dyDescent="0.25">
      <c r="B1351" s="161">
        <v>40983</v>
      </c>
      <c r="C1351" s="12" t="s">
        <v>790</v>
      </c>
      <c r="D1351" s="12" t="s">
        <v>797</v>
      </c>
      <c r="E1351" s="12" t="s">
        <v>806</v>
      </c>
      <c r="F1351" s="12" t="s">
        <v>794</v>
      </c>
      <c r="G1351" s="55">
        <v>1378</v>
      </c>
      <c r="H1351" s="55">
        <v>3722</v>
      </c>
      <c r="I1351" s="2" t="b">
        <f t="shared" ref="I1351:I1414" si="22">AND($K$9=C1351,$L$9=D1351,$M$9=F1351)</f>
        <v>0</v>
      </c>
    </row>
    <row r="1352" spans="2:9" x14ac:dyDescent="0.25">
      <c r="B1352" s="161">
        <v>41056</v>
      </c>
      <c r="C1352" s="12" t="s">
        <v>802</v>
      </c>
      <c r="D1352" s="12" t="s">
        <v>797</v>
      </c>
      <c r="E1352" s="12" t="s">
        <v>806</v>
      </c>
      <c r="F1352" s="12" t="s">
        <v>794</v>
      </c>
      <c r="G1352" s="55">
        <v>2289</v>
      </c>
      <c r="H1352" s="55">
        <v>4162</v>
      </c>
      <c r="I1352" s="2" t="b">
        <f t="shared" si="22"/>
        <v>0</v>
      </c>
    </row>
    <row r="1353" spans="2:9" x14ac:dyDescent="0.25">
      <c r="B1353" s="161">
        <v>41605</v>
      </c>
      <c r="C1353" s="12" t="s">
        <v>792</v>
      </c>
      <c r="D1353" s="12" t="s">
        <v>652</v>
      </c>
      <c r="E1353" s="12" t="s">
        <v>803</v>
      </c>
      <c r="F1353" s="12" t="s">
        <v>794</v>
      </c>
      <c r="G1353" s="55">
        <v>1175</v>
      </c>
      <c r="H1353" s="55">
        <v>2024</v>
      </c>
      <c r="I1353" s="2" t="b">
        <f t="shared" si="22"/>
        <v>0</v>
      </c>
    </row>
    <row r="1354" spans="2:9" x14ac:dyDescent="0.25">
      <c r="B1354" s="161">
        <v>41269</v>
      </c>
      <c r="C1354" s="12" t="s">
        <v>790</v>
      </c>
      <c r="D1354" s="12" t="s">
        <v>457</v>
      </c>
      <c r="E1354" s="12" t="s">
        <v>803</v>
      </c>
      <c r="F1354" s="12" t="s">
        <v>794</v>
      </c>
      <c r="G1354" s="55">
        <v>3310</v>
      </c>
      <c r="H1354" s="55">
        <v>3761</v>
      </c>
      <c r="I1354" s="2" t="b">
        <f t="shared" si="22"/>
        <v>0</v>
      </c>
    </row>
    <row r="1355" spans="2:9" x14ac:dyDescent="0.25">
      <c r="B1355" s="161">
        <v>41395</v>
      </c>
      <c r="C1355" s="12" t="s">
        <v>790</v>
      </c>
      <c r="D1355" s="12" t="s">
        <v>797</v>
      </c>
      <c r="E1355" s="12" t="s">
        <v>808</v>
      </c>
      <c r="F1355" s="12" t="s">
        <v>796</v>
      </c>
      <c r="G1355" s="55">
        <v>3298</v>
      </c>
      <c r="H1355" s="55">
        <v>7327</v>
      </c>
      <c r="I1355" s="2" t="b">
        <f t="shared" si="22"/>
        <v>0</v>
      </c>
    </row>
    <row r="1356" spans="2:9" x14ac:dyDescent="0.25">
      <c r="B1356" s="161">
        <v>41219</v>
      </c>
      <c r="C1356" s="12" t="s">
        <v>802</v>
      </c>
      <c r="D1356" s="12" t="s">
        <v>652</v>
      </c>
      <c r="E1356" s="12" t="s">
        <v>795</v>
      </c>
      <c r="F1356" s="12" t="s">
        <v>796</v>
      </c>
      <c r="G1356" s="55">
        <v>3919</v>
      </c>
      <c r="H1356" s="55">
        <v>5764</v>
      </c>
      <c r="I1356" s="2" t="b">
        <f t="shared" si="22"/>
        <v>0</v>
      </c>
    </row>
    <row r="1357" spans="2:9" x14ac:dyDescent="0.25">
      <c r="B1357" s="161">
        <v>41491</v>
      </c>
      <c r="C1357" s="12" t="s">
        <v>792</v>
      </c>
      <c r="D1357" s="12" t="s">
        <v>801</v>
      </c>
      <c r="E1357" s="12" t="s">
        <v>607</v>
      </c>
      <c r="F1357" s="12" t="s">
        <v>799</v>
      </c>
      <c r="G1357" s="55">
        <v>1635</v>
      </c>
      <c r="H1357" s="55">
        <v>1859</v>
      </c>
      <c r="I1357" s="2" t="b">
        <f t="shared" si="22"/>
        <v>0</v>
      </c>
    </row>
    <row r="1358" spans="2:9" x14ac:dyDescent="0.25">
      <c r="B1358" s="161">
        <v>41098</v>
      </c>
      <c r="C1358" s="12" t="s">
        <v>790</v>
      </c>
      <c r="D1358" s="12" t="s">
        <v>801</v>
      </c>
      <c r="E1358" s="12" t="s">
        <v>803</v>
      </c>
      <c r="F1358" s="12" t="s">
        <v>794</v>
      </c>
      <c r="G1358" s="55">
        <v>2227</v>
      </c>
      <c r="H1358" s="55">
        <v>2381</v>
      </c>
      <c r="I1358" s="2" t="b">
        <f t="shared" si="22"/>
        <v>0</v>
      </c>
    </row>
    <row r="1359" spans="2:9" x14ac:dyDescent="0.25">
      <c r="B1359" s="161">
        <v>41135</v>
      </c>
      <c r="C1359" s="12" t="s">
        <v>790</v>
      </c>
      <c r="D1359" s="12" t="s">
        <v>652</v>
      </c>
      <c r="E1359" s="12" t="s">
        <v>809</v>
      </c>
      <c r="F1359" s="12" t="s">
        <v>796</v>
      </c>
      <c r="G1359" s="55">
        <v>4049</v>
      </c>
      <c r="H1359" s="55">
        <v>9416</v>
      </c>
      <c r="I1359" s="2" t="b">
        <f t="shared" si="22"/>
        <v>0</v>
      </c>
    </row>
    <row r="1360" spans="2:9" x14ac:dyDescent="0.25">
      <c r="B1360" s="161">
        <v>41289</v>
      </c>
      <c r="C1360" s="12" t="s">
        <v>805</v>
      </c>
      <c r="D1360" s="12" t="s">
        <v>797</v>
      </c>
      <c r="E1360" s="12" t="s">
        <v>809</v>
      </c>
      <c r="F1360" s="12" t="s">
        <v>796</v>
      </c>
      <c r="G1360" s="55">
        <v>1560</v>
      </c>
      <c r="H1360" s="55">
        <v>2295</v>
      </c>
      <c r="I1360" s="2" t="b">
        <f t="shared" si="22"/>
        <v>0</v>
      </c>
    </row>
    <row r="1361" spans="2:9" x14ac:dyDescent="0.25">
      <c r="B1361" s="161">
        <v>41348</v>
      </c>
      <c r="C1361" s="12" t="s">
        <v>790</v>
      </c>
      <c r="D1361" s="12" t="s">
        <v>652</v>
      </c>
      <c r="E1361" s="12" t="s">
        <v>800</v>
      </c>
      <c r="F1361" s="12" t="s">
        <v>796</v>
      </c>
      <c r="G1361" s="55">
        <v>3491</v>
      </c>
      <c r="H1361" s="55">
        <v>9433</v>
      </c>
      <c r="I1361" s="2" t="b">
        <f t="shared" si="22"/>
        <v>0</v>
      </c>
    </row>
    <row r="1362" spans="2:9" x14ac:dyDescent="0.25">
      <c r="B1362" s="161">
        <v>41339</v>
      </c>
      <c r="C1362" s="12" t="s">
        <v>805</v>
      </c>
      <c r="D1362" s="12" t="s">
        <v>457</v>
      </c>
      <c r="E1362" s="12" t="s">
        <v>803</v>
      </c>
      <c r="F1362" s="12" t="s">
        <v>799</v>
      </c>
      <c r="G1362" s="55">
        <v>7658</v>
      </c>
      <c r="H1362" s="55">
        <v>8191</v>
      </c>
      <c r="I1362" s="2" t="b">
        <f t="shared" si="22"/>
        <v>0</v>
      </c>
    </row>
    <row r="1363" spans="2:9" x14ac:dyDescent="0.25">
      <c r="B1363" s="161">
        <v>40952</v>
      </c>
      <c r="C1363" s="12" t="s">
        <v>790</v>
      </c>
      <c r="D1363" s="12" t="s">
        <v>797</v>
      </c>
      <c r="E1363" s="12" t="s">
        <v>795</v>
      </c>
      <c r="F1363" s="12" t="s">
        <v>796</v>
      </c>
      <c r="G1363" s="55">
        <v>6649</v>
      </c>
      <c r="H1363" s="55">
        <v>8865</v>
      </c>
      <c r="I1363" s="2" t="b">
        <f t="shared" si="22"/>
        <v>0</v>
      </c>
    </row>
    <row r="1364" spans="2:9" x14ac:dyDescent="0.25">
      <c r="B1364" s="161">
        <v>41541</v>
      </c>
      <c r="C1364" s="12" t="s">
        <v>792</v>
      </c>
      <c r="D1364" s="12" t="s">
        <v>801</v>
      </c>
      <c r="E1364" s="12" t="s">
        <v>607</v>
      </c>
      <c r="F1364" s="12" t="s">
        <v>799</v>
      </c>
      <c r="G1364" s="55">
        <v>113</v>
      </c>
      <c r="H1364" s="55">
        <v>128</v>
      </c>
      <c r="I1364" s="2" t="b">
        <f t="shared" si="22"/>
        <v>0</v>
      </c>
    </row>
    <row r="1365" spans="2:9" x14ac:dyDescent="0.25">
      <c r="B1365" s="161">
        <v>41430</v>
      </c>
      <c r="C1365" s="12" t="s">
        <v>790</v>
      </c>
      <c r="D1365" s="12" t="s">
        <v>457</v>
      </c>
      <c r="E1365" s="12" t="s">
        <v>800</v>
      </c>
      <c r="F1365" s="12" t="s">
        <v>794</v>
      </c>
      <c r="G1365" s="55">
        <v>1013</v>
      </c>
      <c r="H1365" s="55">
        <v>1084</v>
      </c>
      <c r="I1365" s="2" t="b">
        <f t="shared" si="22"/>
        <v>0</v>
      </c>
    </row>
    <row r="1366" spans="2:9" x14ac:dyDescent="0.25">
      <c r="B1366" s="161">
        <v>41036</v>
      </c>
      <c r="C1366" s="12" t="s">
        <v>805</v>
      </c>
      <c r="D1366" s="12" t="s">
        <v>652</v>
      </c>
      <c r="E1366" s="12" t="s">
        <v>808</v>
      </c>
      <c r="F1366" s="12" t="s">
        <v>796</v>
      </c>
      <c r="G1366" s="55">
        <v>2018</v>
      </c>
      <c r="H1366" s="55">
        <v>2158</v>
      </c>
      <c r="I1366" s="2" t="b">
        <f t="shared" si="22"/>
        <v>0</v>
      </c>
    </row>
    <row r="1367" spans="2:9" x14ac:dyDescent="0.25">
      <c r="B1367" s="161">
        <v>41009</v>
      </c>
      <c r="C1367" s="12" t="s">
        <v>790</v>
      </c>
      <c r="D1367" s="12" t="s">
        <v>797</v>
      </c>
      <c r="E1367" s="12" t="s">
        <v>806</v>
      </c>
      <c r="F1367" s="12" t="s">
        <v>796</v>
      </c>
      <c r="G1367" s="55">
        <v>2373</v>
      </c>
      <c r="H1367" s="55">
        <v>4093</v>
      </c>
      <c r="I1367" s="2" t="b">
        <f t="shared" si="22"/>
        <v>0</v>
      </c>
    </row>
    <row r="1368" spans="2:9" x14ac:dyDescent="0.25">
      <c r="B1368" s="161">
        <v>41332</v>
      </c>
      <c r="C1368" s="12" t="s">
        <v>805</v>
      </c>
      <c r="D1368" s="12" t="s">
        <v>457</v>
      </c>
      <c r="E1368" s="12" t="s">
        <v>803</v>
      </c>
      <c r="F1368" s="12" t="s">
        <v>799</v>
      </c>
      <c r="G1368" s="55">
        <v>5708</v>
      </c>
      <c r="H1368" s="55">
        <v>6487</v>
      </c>
      <c r="I1368" s="2" t="b">
        <f t="shared" si="22"/>
        <v>0</v>
      </c>
    </row>
    <row r="1369" spans="2:9" x14ac:dyDescent="0.25">
      <c r="B1369" s="161">
        <v>41013</v>
      </c>
      <c r="C1369" s="12" t="s">
        <v>792</v>
      </c>
      <c r="D1369" s="12" t="s">
        <v>801</v>
      </c>
      <c r="E1369" s="12" t="s">
        <v>807</v>
      </c>
      <c r="F1369" s="12" t="s">
        <v>799</v>
      </c>
      <c r="G1369" s="55">
        <v>7994</v>
      </c>
      <c r="H1369" s="55">
        <v>8551</v>
      </c>
      <c r="I1369" s="2" t="b">
        <f t="shared" si="22"/>
        <v>0</v>
      </c>
    </row>
    <row r="1370" spans="2:9" x14ac:dyDescent="0.25">
      <c r="B1370" s="161">
        <v>41602</v>
      </c>
      <c r="C1370" s="12" t="s">
        <v>790</v>
      </c>
      <c r="D1370" s="12" t="s">
        <v>457</v>
      </c>
      <c r="E1370" s="12" t="s">
        <v>804</v>
      </c>
      <c r="F1370" s="12" t="s">
        <v>796</v>
      </c>
      <c r="G1370" s="55">
        <v>8477</v>
      </c>
      <c r="H1370" s="55">
        <v>9633</v>
      </c>
      <c r="I1370" s="2" t="b">
        <f t="shared" si="22"/>
        <v>0</v>
      </c>
    </row>
    <row r="1371" spans="2:9" x14ac:dyDescent="0.25">
      <c r="B1371" s="161">
        <v>41385</v>
      </c>
      <c r="C1371" s="12" t="s">
        <v>805</v>
      </c>
      <c r="D1371" s="12" t="s">
        <v>652</v>
      </c>
      <c r="E1371" s="12" t="s">
        <v>487</v>
      </c>
      <c r="F1371" s="12" t="s">
        <v>794</v>
      </c>
      <c r="G1371" s="55">
        <v>3123</v>
      </c>
      <c r="H1371" s="55">
        <v>3548</v>
      </c>
      <c r="I1371" s="2" t="b">
        <f t="shared" si="22"/>
        <v>0</v>
      </c>
    </row>
    <row r="1372" spans="2:9" x14ac:dyDescent="0.25">
      <c r="B1372" s="161">
        <v>41359</v>
      </c>
      <c r="C1372" s="12" t="s">
        <v>792</v>
      </c>
      <c r="D1372" s="12" t="s">
        <v>457</v>
      </c>
      <c r="E1372" s="12" t="s">
        <v>806</v>
      </c>
      <c r="F1372" s="12" t="s">
        <v>791</v>
      </c>
      <c r="G1372" s="55">
        <v>1406</v>
      </c>
      <c r="H1372" s="55">
        <v>2423</v>
      </c>
      <c r="I1372" s="2" t="b">
        <f t="shared" si="22"/>
        <v>0</v>
      </c>
    </row>
    <row r="1373" spans="2:9" x14ac:dyDescent="0.25">
      <c r="B1373" s="161">
        <v>41482</v>
      </c>
      <c r="C1373" s="12" t="s">
        <v>790</v>
      </c>
      <c r="D1373" s="12" t="s">
        <v>652</v>
      </c>
      <c r="E1373" s="12" t="s">
        <v>804</v>
      </c>
      <c r="F1373" s="12" t="s">
        <v>794</v>
      </c>
      <c r="G1373" s="55">
        <v>5570</v>
      </c>
      <c r="H1373" s="55">
        <v>9439</v>
      </c>
      <c r="I1373" s="2" t="b">
        <f t="shared" si="22"/>
        <v>0</v>
      </c>
    </row>
    <row r="1374" spans="2:9" x14ac:dyDescent="0.25">
      <c r="B1374" s="161">
        <v>41536</v>
      </c>
      <c r="C1374" s="12" t="s">
        <v>802</v>
      </c>
      <c r="D1374" s="12" t="s">
        <v>801</v>
      </c>
      <c r="E1374" s="12" t="s">
        <v>809</v>
      </c>
      <c r="F1374" s="12" t="s">
        <v>796</v>
      </c>
      <c r="G1374" s="55">
        <v>5343</v>
      </c>
      <c r="H1374" s="55">
        <v>5714</v>
      </c>
      <c r="I1374" s="2" t="b">
        <f t="shared" si="22"/>
        <v>0</v>
      </c>
    </row>
    <row r="1375" spans="2:9" x14ac:dyDescent="0.25">
      <c r="B1375" s="161">
        <v>40978</v>
      </c>
      <c r="C1375" s="12" t="s">
        <v>805</v>
      </c>
      <c r="D1375" s="12" t="s">
        <v>457</v>
      </c>
      <c r="E1375" s="12" t="s">
        <v>607</v>
      </c>
      <c r="F1375" s="12" t="s">
        <v>796</v>
      </c>
      <c r="G1375" s="55">
        <v>4264</v>
      </c>
      <c r="H1375" s="55">
        <v>9918</v>
      </c>
      <c r="I1375" s="2" t="b">
        <f t="shared" si="22"/>
        <v>0</v>
      </c>
    </row>
    <row r="1376" spans="2:9" x14ac:dyDescent="0.25">
      <c r="B1376" s="161">
        <v>40912</v>
      </c>
      <c r="C1376" s="12" t="s">
        <v>805</v>
      </c>
      <c r="D1376" s="12" t="s">
        <v>457</v>
      </c>
      <c r="E1376" s="12" t="s">
        <v>795</v>
      </c>
      <c r="F1376" s="12" t="s">
        <v>794</v>
      </c>
      <c r="G1376" s="55">
        <v>3865</v>
      </c>
      <c r="H1376" s="55">
        <v>6663</v>
      </c>
      <c r="I1376" s="2" t="b">
        <f t="shared" si="22"/>
        <v>0</v>
      </c>
    </row>
    <row r="1377" spans="2:9" x14ac:dyDescent="0.25">
      <c r="B1377" s="161">
        <v>41057</v>
      </c>
      <c r="C1377" s="12" t="s">
        <v>805</v>
      </c>
      <c r="D1377" s="12" t="s">
        <v>797</v>
      </c>
      <c r="E1377" s="12" t="s">
        <v>807</v>
      </c>
      <c r="F1377" s="12" t="s">
        <v>794</v>
      </c>
      <c r="G1377" s="55">
        <v>1077</v>
      </c>
      <c r="H1377" s="55">
        <v>2503</v>
      </c>
      <c r="I1377" s="2" t="b">
        <f t="shared" si="22"/>
        <v>0</v>
      </c>
    </row>
    <row r="1378" spans="2:9" x14ac:dyDescent="0.25">
      <c r="B1378" s="161">
        <v>41637</v>
      </c>
      <c r="C1378" s="12" t="s">
        <v>802</v>
      </c>
      <c r="D1378" s="12" t="s">
        <v>801</v>
      </c>
      <c r="E1378" s="12" t="s">
        <v>487</v>
      </c>
      <c r="F1378" s="12" t="s">
        <v>794</v>
      </c>
      <c r="G1378" s="55">
        <v>3327</v>
      </c>
      <c r="H1378" s="55">
        <v>7391</v>
      </c>
      <c r="I1378" s="2" t="b">
        <f t="shared" si="22"/>
        <v>0</v>
      </c>
    </row>
    <row r="1379" spans="2:9" x14ac:dyDescent="0.25">
      <c r="B1379" s="161">
        <v>40978</v>
      </c>
      <c r="C1379" s="12" t="s">
        <v>805</v>
      </c>
      <c r="D1379" s="12" t="s">
        <v>801</v>
      </c>
      <c r="E1379" s="12" t="s">
        <v>800</v>
      </c>
      <c r="F1379" s="12" t="s">
        <v>791</v>
      </c>
      <c r="G1379" s="55">
        <v>113</v>
      </c>
      <c r="H1379" s="55">
        <v>151</v>
      </c>
      <c r="I1379" s="2" t="b">
        <f t="shared" si="22"/>
        <v>0</v>
      </c>
    </row>
    <row r="1380" spans="2:9" x14ac:dyDescent="0.25">
      <c r="B1380" s="161">
        <v>41264</v>
      </c>
      <c r="C1380" s="12" t="s">
        <v>792</v>
      </c>
      <c r="D1380" s="12" t="s">
        <v>801</v>
      </c>
      <c r="E1380" s="12" t="s">
        <v>809</v>
      </c>
      <c r="F1380" s="12" t="s">
        <v>796</v>
      </c>
      <c r="G1380" s="55">
        <v>1247</v>
      </c>
      <c r="H1380" s="55">
        <v>2267</v>
      </c>
      <c r="I1380" s="2" t="b">
        <f t="shared" si="22"/>
        <v>0</v>
      </c>
    </row>
    <row r="1381" spans="2:9" x14ac:dyDescent="0.25">
      <c r="B1381" s="161">
        <v>41540</v>
      </c>
      <c r="C1381" s="12" t="s">
        <v>805</v>
      </c>
      <c r="D1381" s="12" t="s">
        <v>797</v>
      </c>
      <c r="E1381" s="12" t="s">
        <v>809</v>
      </c>
      <c r="F1381" s="12" t="s">
        <v>796</v>
      </c>
      <c r="G1381" s="55">
        <v>4598</v>
      </c>
      <c r="H1381" s="55">
        <v>6131</v>
      </c>
      <c r="I1381" s="2" t="b">
        <f t="shared" si="22"/>
        <v>0</v>
      </c>
    </row>
    <row r="1382" spans="2:9" x14ac:dyDescent="0.25">
      <c r="B1382" s="161">
        <v>41507</v>
      </c>
      <c r="C1382" s="12" t="s">
        <v>802</v>
      </c>
      <c r="D1382" s="12" t="s">
        <v>652</v>
      </c>
      <c r="E1382" s="12" t="s">
        <v>803</v>
      </c>
      <c r="F1382" s="12" t="s">
        <v>791</v>
      </c>
      <c r="G1382" s="55">
        <v>2607</v>
      </c>
      <c r="H1382" s="55">
        <v>2962</v>
      </c>
      <c r="I1382" s="2" t="b">
        <f t="shared" si="22"/>
        <v>0</v>
      </c>
    </row>
    <row r="1383" spans="2:9" x14ac:dyDescent="0.25">
      <c r="B1383" s="161">
        <v>40994</v>
      </c>
      <c r="C1383" s="12" t="s">
        <v>792</v>
      </c>
      <c r="D1383" s="12" t="s">
        <v>801</v>
      </c>
      <c r="E1383" s="12" t="s">
        <v>807</v>
      </c>
      <c r="F1383" s="12" t="s">
        <v>794</v>
      </c>
      <c r="G1383" s="55">
        <v>1620</v>
      </c>
      <c r="H1383" s="55">
        <v>3600</v>
      </c>
      <c r="I1383" s="2" t="b">
        <f t="shared" si="22"/>
        <v>0</v>
      </c>
    </row>
    <row r="1384" spans="2:9" x14ac:dyDescent="0.25">
      <c r="B1384" s="161">
        <v>41575</v>
      </c>
      <c r="C1384" s="12" t="s">
        <v>802</v>
      </c>
      <c r="D1384" s="12" t="s">
        <v>652</v>
      </c>
      <c r="E1384" s="12" t="s">
        <v>806</v>
      </c>
      <c r="F1384" s="12" t="s">
        <v>794</v>
      </c>
      <c r="G1384" s="55">
        <v>2044</v>
      </c>
      <c r="H1384" s="55">
        <v>2187</v>
      </c>
      <c r="I1384" s="2" t="b">
        <f t="shared" si="22"/>
        <v>0</v>
      </c>
    </row>
    <row r="1385" spans="2:9" x14ac:dyDescent="0.25">
      <c r="B1385" s="161">
        <v>40992</v>
      </c>
      <c r="C1385" s="12" t="s">
        <v>792</v>
      </c>
      <c r="D1385" s="12" t="s">
        <v>801</v>
      </c>
      <c r="E1385" s="12" t="s">
        <v>807</v>
      </c>
      <c r="F1385" s="12" t="s">
        <v>794</v>
      </c>
      <c r="G1385" s="55">
        <v>5630</v>
      </c>
      <c r="H1385" s="55">
        <v>8278</v>
      </c>
      <c r="I1385" s="2" t="b">
        <f t="shared" si="22"/>
        <v>0</v>
      </c>
    </row>
    <row r="1386" spans="2:9" x14ac:dyDescent="0.25">
      <c r="B1386" s="161">
        <v>41078</v>
      </c>
      <c r="C1386" s="12" t="s">
        <v>792</v>
      </c>
      <c r="D1386" s="12" t="s">
        <v>457</v>
      </c>
      <c r="E1386" s="12" t="s">
        <v>800</v>
      </c>
      <c r="F1386" s="12" t="s">
        <v>799</v>
      </c>
      <c r="G1386" s="55">
        <v>1913</v>
      </c>
      <c r="H1386" s="55">
        <v>2811</v>
      </c>
      <c r="I1386" s="2" t="b">
        <f t="shared" si="22"/>
        <v>0</v>
      </c>
    </row>
    <row r="1387" spans="2:9" x14ac:dyDescent="0.25">
      <c r="B1387" s="161">
        <v>41478</v>
      </c>
      <c r="C1387" s="12" t="s">
        <v>805</v>
      </c>
      <c r="D1387" s="12" t="s">
        <v>801</v>
      </c>
      <c r="E1387" s="12" t="s">
        <v>793</v>
      </c>
      <c r="F1387" s="12" t="s">
        <v>799</v>
      </c>
      <c r="G1387" s="55">
        <v>5300</v>
      </c>
      <c r="H1387" s="55">
        <v>7793</v>
      </c>
      <c r="I1387" s="2" t="b">
        <f t="shared" si="22"/>
        <v>0</v>
      </c>
    </row>
    <row r="1388" spans="2:9" x14ac:dyDescent="0.25">
      <c r="B1388" s="161">
        <v>41312</v>
      </c>
      <c r="C1388" s="12" t="s">
        <v>805</v>
      </c>
      <c r="D1388" s="12" t="s">
        <v>652</v>
      </c>
      <c r="E1388" s="12" t="s">
        <v>804</v>
      </c>
      <c r="F1388" s="12" t="s">
        <v>791</v>
      </c>
      <c r="G1388" s="55">
        <v>1001</v>
      </c>
      <c r="H1388" s="55">
        <v>2706</v>
      </c>
      <c r="I1388" s="2" t="b">
        <f t="shared" si="22"/>
        <v>0</v>
      </c>
    </row>
    <row r="1389" spans="2:9" x14ac:dyDescent="0.25">
      <c r="B1389" s="161">
        <v>41373</v>
      </c>
      <c r="C1389" s="12" t="s">
        <v>792</v>
      </c>
      <c r="D1389" s="12" t="s">
        <v>801</v>
      </c>
      <c r="E1389" s="12" t="s">
        <v>806</v>
      </c>
      <c r="F1389" s="12" t="s">
        <v>799</v>
      </c>
      <c r="G1389" s="55">
        <v>3119</v>
      </c>
      <c r="H1389" s="55">
        <v>5673</v>
      </c>
      <c r="I1389" s="2" t="b">
        <f t="shared" si="22"/>
        <v>0</v>
      </c>
    </row>
    <row r="1390" spans="2:9" x14ac:dyDescent="0.25">
      <c r="B1390" s="161">
        <v>41008</v>
      </c>
      <c r="C1390" s="12" t="s">
        <v>790</v>
      </c>
      <c r="D1390" s="12" t="s">
        <v>797</v>
      </c>
      <c r="E1390" s="12" t="s">
        <v>607</v>
      </c>
      <c r="F1390" s="12" t="s">
        <v>794</v>
      </c>
      <c r="G1390" s="55">
        <v>1127</v>
      </c>
      <c r="H1390" s="55">
        <v>2049</v>
      </c>
      <c r="I1390" s="2" t="b">
        <f t="shared" si="22"/>
        <v>0</v>
      </c>
    </row>
    <row r="1391" spans="2:9" x14ac:dyDescent="0.25">
      <c r="B1391" s="161">
        <v>41158</v>
      </c>
      <c r="C1391" s="12" t="s">
        <v>805</v>
      </c>
      <c r="D1391" s="12" t="s">
        <v>652</v>
      </c>
      <c r="E1391" s="12" t="s">
        <v>487</v>
      </c>
      <c r="F1391" s="12" t="s">
        <v>791</v>
      </c>
      <c r="G1391" s="55">
        <v>5482</v>
      </c>
      <c r="H1391" s="55">
        <v>6229</v>
      </c>
      <c r="I1391" s="2" t="b">
        <f t="shared" si="22"/>
        <v>0</v>
      </c>
    </row>
    <row r="1392" spans="2:9" x14ac:dyDescent="0.25">
      <c r="B1392" s="161">
        <v>41096</v>
      </c>
      <c r="C1392" s="12" t="s">
        <v>790</v>
      </c>
      <c r="D1392" s="12" t="s">
        <v>801</v>
      </c>
      <c r="E1392" s="12" t="s">
        <v>798</v>
      </c>
      <c r="F1392" s="12" t="s">
        <v>794</v>
      </c>
      <c r="G1392" s="55">
        <v>8825</v>
      </c>
      <c r="H1392" s="55">
        <v>9438</v>
      </c>
      <c r="I1392" s="2" t="b">
        <f t="shared" si="22"/>
        <v>0</v>
      </c>
    </row>
    <row r="1393" spans="2:9" x14ac:dyDescent="0.25">
      <c r="B1393" s="161">
        <v>41497</v>
      </c>
      <c r="C1393" s="12" t="s">
        <v>792</v>
      </c>
      <c r="D1393" s="12" t="s">
        <v>652</v>
      </c>
      <c r="E1393" s="12" t="s">
        <v>809</v>
      </c>
      <c r="F1393" s="12" t="s">
        <v>794</v>
      </c>
      <c r="G1393" s="55">
        <v>328</v>
      </c>
      <c r="H1393" s="55">
        <v>884</v>
      </c>
      <c r="I1393" s="2" t="b">
        <f t="shared" si="22"/>
        <v>0</v>
      </c>
    </row>
    <row r="1394" spans="2:9" x14ac:dyDescent="0.25">
      <c r="B1394" s="161">
        <v>41348</v>
      </c>
      <c r="C1394" s="12" t="s">
        <v>792</v>
      </c>
      <c r="D1394" s="12" t="s">
        <v>457</v>
      </c>
      <c r="E1394" s="12" t="s">
        <v>806</v>
      </c>
      <c r="F1394" s="12" t="s">
        <v>799</v>
      </c>
      <c r="G1394" s="55">
        <v>5949</v>
      </c>
      <c r="H1394" s="55">
        <v>6760</v>
      </c>
      <c r="I1394" s="2" t="b">
        <f t="shared" si="22"/>
        <v>0</v>
      </c>
    </row>
    <row r="1395" spans="2:9" x14ac:dyDescent="0.25">
      <c r="B1395" s="161">
        <v>41477</v>
      </c>
      <c r="C1395" s="12" t="s">
        <v>792</v>
      </c>
      <c r="D1395" s="12" t="s">
        <v>801</v>
      </c>
      <c r="E1395" s="12" t="s">
        <v>809</v>
      </c>
      <c r="F1395" s="12" t="s">
        <v>796</v>
      </c>
      <c r="G1395" s="55">
        <v>704</v>
      </c>
      <c r="H1395" s="55">
        <v>1214</v>
      </c>
      <c r="I1395" s="2" t="b">
        <f t="shared" si="22"/>
        <v>0</v>
      </c>
    </row>
    <row r="1396" spans="2:9" x14ac:dyDescent="0.25">
      <c r="B1396" s="161">
        <v>41257</v>
      </c>
      <c r="C1396" s="12" t="s">
        <v>790</v>
      </c>
      <c r="D1396" s="12" t="s">
        <v>797</v>
      </c>
      <c r="E1396" s="12" t="s">
        <v>798</v>
      </c>
      <c r="F1396" s="12" t="s">
        <v>794</v>
      </c>
      <c r="G1396" s="55">
        <v>2965</v>
      </c>
      <c r="H1396" s="55">
        <v>6588</v>
      </c>
      <c r="I1396" s="2" t="b">
        <f t="shared" si="22"/>
        <v>0</v>
      </c>
    </row>
    <row r="1397" spans="2:9" x14ac:dyDescent="0.25">
      <c r="B1397" s="161">
        <v>41617</v>
      </c>
      <c r="C1397" s="12" t="s">
        <v>790</v>
      </c>
      <c r="D1397" s="12" t="s">
        <v>652</v>
      </c>
      <c r="E1397" s="12" t="s">
        <v>807</v>
      </c>
      <c r="F1397" s="12" t="s">
        <v>794</v>
      </c>
      <c r="G1397" s="55">
        <v>1918</v>
      </c>
      <c r="H1397" s="55">
        <v>3252</v>
      </c>
      <c r="I1397" s="2" t="b">
        <f t="shared" si="22"/>
        <v>0</v>
      </c>
    </row>
    <row r="1398" spans="2:9" x14ac:dyDescent="0.25">
      <c r="B1398" s="161">
        <v>41370</v>
      </c>
      <c r="C1398" s="12" t="s">
        <v>802</v>
      </c>
      <c r="D1398" s="12" t="s">
        <v>457</v>
      </c>
      <c r="E1398" s="12" t="s">
        <v>793</v>
      </c>
      <c r="F1398" s="12" t="s">
        <v>796</v>
      </c>
      <c r="G1398" s="55">
        <v>4688</v>
      </c>
      <c r="H1398" s="55">
        <v>8522</v>
      </c>
      <c r="I1398" s="2" t="b">
        <f t="shared" si="22"/>
        <v>0</v>
      </c>
    </row>
    <row r="1399" spans="2:9" x14ac:dyDescent="0.25">
      <c r="B1399" s="161">
        <v>41268</v>
      </c>
      <c r="C1399" s="12" t="s">
        <v>802</v>
      </c>
      <c r="D1399" s="12" t="s">
        <v>801</v>
      </c>
      <c r="E1399" s="12" t="s">
        <v>809</v>
      </c>
      <c r="F1399" s="12" t="s">
        <v>796</v>
      </c>
      <c r="G1399" s="55">
        <v>2185</v>
      </c>
      <c r="H1399" s="55">
        <v>5905</v>
      </c>
      <c r="I1399" s="2" t="b">
        <f t="shared" si="22"/>
        <v>0</v>
      </c>
    </row>
    <row r="1400" spans="2:9" x14ac:dyDescent="0.25">
      <c r="B1400" s="161">
        <v>41545</v>
      </c>
      <c r="C1400" s="12" t="s">
        <v>790</v>
      </c>
      <c r="D1400" s="12" t="s">
        <v>457</v>
      </c>
      <c r="E1400" s="12" t="s">
        <v>795</v>
      </c>
      <c r="F1400" s="12" t="s">
        <v>794</v>
      </c>
      <c r="G1400" s="55">
        <v>1013</v>
      </c>
      <c r="H1400" s="55">
        <v>1152</v>
      </c>
      <c r="I1400" s="2" t="b">
        <f t="shared" si="22"/>
        <v>0</v>
      </c>
    </row>
    <row r="1401" spans="2:9" x14ac:dyDescent="0.25">
      <c r="B1401" s="161">
        <v>41151</v>
      </c>
      <c r="C1401" s="12" t="s">
        <v>792</v>
      </c>
      <c r="D1401" s="12" t="s">
        <v>652</v>
      </c>
      <c r="E1401" s="12" t="s">
        <v>798</v>
      </c>
      <c r="F1401" s="12" t="s">
        <v>796</v>
      </c>
      <c r="G1401" s="55">
        <v>3367</v>
      </c>
      <c r="H1401" s="55">
        <v>6122</v>
      </c>
      <c r="I1401" s="2" t="b">
        <f t="shared" si="22"/>
        <v>0</v>
      </c>
    </row>
    <row r="1402" spans="2:9" x14ac:dyDescent="0.25">
      <c r="B1402" s="161">
        <v>41141</v>
      </c>
      <c r="C1402" s="12" t="s">
        <v>792</v>
      </c>
      <c r="D1402" s="12" t="s">
        <v>797</v>
      </c>
      <c r="E1402" s="12" t="s">
        <v>795</v>
      </c>
      <c r="F1402" s="12" t="s">
        <v>796</v>
      </c>
      <c r="G1402" s="55">
        <v>407</v>
      </c>
      <c r="H1402" s="55">
        <v>1100</v>
      </c>
      <c r="I1402" s="2" t="b">
        <f t="shared" si="22"/>
        <v>0</v>
      </c>
    </row>
    <row r="1403" spans="2:9" x14ac:dyDescent="0.25">
      <c r="B1403" s="161">
        <v>41623</v>
      </c>
      <c r="C1403" s="12" t="s">
        <v>805</v>
      </c>
      <c r="D1403" s="12" t="s">
        <v>801</v>
      </c>
      <c r="E1403" s="12" t="s">
        <v>804</v>
      </c>
      <c r="F1403" s="12" t="s">
        <v>794</v>
      </c>
      <c r="G1403" s="55">
        <v>5964</v>
      </c>
      <c r="H1403" s="55">
        <v>7952</v>
      </c>
      <c r="I1403" s="2" t="b">
        <f t="shared" si="22"/>
        <v>0</v>
      </c>
    </row>
    <row r="1404" spans="2:9" x14ac:dyDescent="0.25">
      <c r="B1404" s="161">
        <v>41408</v>
      </c>
      <c r="C1404" s="12" t="s">
        <v>792</v>
      </c>
      <c r="D1404" s="12" t="s">
        <v>652</v>
      </c>
      <c r="E1404" s="12" t="s">
        <v>803</v>
      </c>
      <c r="F1404" s="12" t="s">
        <v>799</v>
      </c>
      <c r="G1404" s="55">
        <v>4030</v>
      </c>
      <c r="H1404" s="55">
        <v>6829</v>
      </c>
      <c r="I1404" s="2" t="b">
        <f t="shared" si="22"/>
        <v>0</v>
      </c>
    </row>
    <row r="1405" spans="2:9" x14ac:dyDescent="0.25">
      <c r="B1405" s="161">
        <v>41279</v>
      </c>
      <c r="C1405" s="12" t="s">
        <v>790</v>
      </c>
      <c r="D1405" s="12" t="s">
        <v>797</v>
      </c>
      <c r="E1405" s="12" t="s">
        <v>807</v>
      </c>
      <c r="F1405" s="12" t="s">
        <v>791</v>
      </c>
      <c r="G1405" s="55">
        <v>123</v>
      </c>
      <c r="H1405" s="55">
        <v>132</v>
      </c>
      <c r="I1405" s="2" t="b">
        <f t="shared" si="22"/>
        <v>0</v>
      </c>
    </row>
    <row r="1406" spans="2:9" x14ac:dyDescent="0.25">
      <c r="B1406" s="161">
        <v>41392</v>
      </c>
      <c r="C1406" s="12" t="s">
        <v>792</v>
      </c>
      <c r="D1406" s="12" t="s">
        <v>801</v>
      </c>
      <c r="E1406" s="12" t="s">
        <v>800</v>
      </c>
      <c r="F1406" s="12" t="s">
        <v>791</v>
      </c>
      <c r="G1406" s="55">
        <v>3690</v>
      </c>
      <c r="H1406" s="55">
        <v>6254</v>
      </c>
      <c r="I1406" s="2" t="b">
        <f t="shared" si="22"/>
        <v>0</v>
      </c>
    </row>
    <row r="1407" spans="2:9" x14ac:dyDescent="0.25">
      <c r="B1407" s="161">
        <v>41105</v>
      </c>
      <c r="C1407" s="12" t="s">
        <v>802</v>
      </c>
      <c r="D1407" s="12" t="s">
        <v>797</v>
      </c>
      <c r="E1407" s="12" t="s">
        <v>804</v>
      </c>
      <c r="F1407" s="12" t="s">
        <v>794</v>
      </c>
      <c r="G1407" s="55">
        <v>2846</v>
      </c>
      <c r="H1407" s="55">
        <v>3234</v>
      </c>
      <c r="I1407" s="2" t="b">
        <f t="shared" si="22"/>
        <v>0</v>
      </c>
    </row>
    <row r="1408" spans="2:9" x14ac:dyDescent="0.25">
      <c r="B1408" s="161">
        <v>41193</v>
      </c>
      <c r="C1408" s="12" t="s">
        <v>802</v>
      </c>
      <c r="D1408" s="12" t="s">
        <v>457</v>
      </c>
      <c r="E1408" s="12" t="s">
        <v>803</v>
      </c>
      <c r="F1408" s="12" t="s">
        <v>791</v>
      </c>
      <c r="G1408" s="55">
        <v>1497</v>
      </c>
      <c r="H1408" s="55">
        <v>3327</v>
      </c>
      <c r="I1408" s="2" t="b">
        <f t="shared" si="22"/>
        <v>0</v>
      </c>
    </row>
    <row r="1409" spans="2:9" x14ac:dyDescent="0.25">
      <c r="B1409" s="161">
        <v>41092</v>
      </c>
      <c r="C1409" s="12" t="s">
        <v>790</v>
      </c>
      <c r="D1409" s="12" t="s">
        <v>457</v>
      </c>
      <c r="E1409" s="12" t="s">
        <v>808</v>
      </c>
      <c r="F1409" s="12" t="s">
        <v>796</v>
      </c>
      <c r="G1409" s="55">
        <v>900</v>
      </c>
      <c r="H1409" s="55">
        <v>1552</v>
      </c>
      <c r="I1409" s="2" t="b">
        <f t="shared" si="22"/>
        <v>0</v>
      </c>
    </row>
    <row r="1410" spans="2:9" x14ac:dyDescent="0.25">
      <c r="B1410" s="161">
        <v>41165</v>
      </c>
      <c r="C1410" s="12" t="s">
        <v>792</v>
      </c>
      <c r="D1410" s="12" t="s">
        <v>652</v>
      </c>
      <c r="E1410" s="12" t="s">
        <v>804</v>
      </c>
      <c r="F1410" s="12" t="s">
        <v>799</v>
      </c>
      <c r="G1410" s="55">
        <v>4883</v>
      </c>
      <c r="H1410" s="55">
        <v>8419</v>
      </c>
      <c r="I1410" s="2" t="b">
        <f t="shared" si="22"/>
        <v>0</v>
      </c>
    </row>
    <row r="1411" spans="2:9" x14ac:dyDescent="0.25">
      <c r="B1411" s="161">
        <v>41164</v>
      </c>
      <c r="C1411" s="12" t="s">
        <v>792</v>
      </c>
      <c r="D1411" s="12" t="s">
        <v>652</v>
      </c>
      <c r="E1411" s="12" t="s">
        <v>809</v>
      </c>
      <c r="F1411" s="12" t="s">
        <v>791</v>
      </c>
      <c r="G1411" s="55">
        <v>3673</v>
      </c>
      <c r="H1411" s="55">
        <v>4174</v>
      </c>
      <c r="I1411" s="2" t="b">
        <f t="shared" si="22"/>
        <v>0</v>
      </c>
    </row>
    <row r="1412" spans="2:9" x14ac:dyDescent="0.25">
      <c r="B1412" s="161">
        <v>41273</v>
      </c>
      <c r="C1412" s="12" t="s">
        <v>802</v>
      </c>
      <c r="D1412" s="12" t="s">
        <v>457</v>
      </c>
      <c r="E1412" s="12" t="s">
        <v>800</v>
      </c>
      <c r="F1412" s="12" t="s">
        <v>794</v>
      </c>
      <c r="G1412" s="55">
        <v>4140</v>
      </c>
      <c r="H1412" s="55">
        <v>7527</v>
      </c>
      <c r="I1412" s="2" t="b">
        <f t="shared" si="22"/>
        <v>0</v>
      </c>
    </row>
    <row r="1413" spans="2:9" x14ac:dyDescent="0.25">
      <c r="B1413" s="161">
        <v>41196</v>
      </c>
      <c r="C1413" s="12" t="s">
        <v>805</v>
      </c>
      <c r="D1413" s="12" t="s">
        <v>801</v>
      </c>
      <c r="E1413" s="12" t="s">
        <v>803</v>
      </c>
      <c r="F1413" s="12" t="s">
        <v>799</v>
      </c>
      <c r="G1413" s="55">
        <v>186</v>
      </c>
      <c r="H1413" s="55">
        <v>274</v>
      </c>
      <c r="I1413" s="2" t="b">
        <f t="shared" si="22"/>
        <v>0</v>
      </c>
    </row>
    <row r="1414" spans="2:9" x14ac:dyDescent="0.25">
      <c r="B1414" s="161">
        <v>41235</v>
      </c>
      <c r="C1414" s="12" t="s">
        <v>792</v>
      </c>
      <c r="D1414" s="12" t="s">
        <v>457</v>
      </c>
      <c r="E1414" s="12" t="s">
        <v>807</v>
      </c>
      <c r="F1414" s="12" t="s">
        <v>799</v>
      </c>
      <c r="G1414" s="55">
        <v>4711</v>
      </c>
      <c r="H1414" s="55">
        <v>5355</v>
      </c>
      <c r="I1414" s="2" t="b">
        <f t="shared" si="22"/>
        <v>0</v>
      </c>
    </row>
    <row r="1415" spans="2:9" x14ac:dyDescent="0.25">
      <c r="B1415" s="161">
        <v>41100</v>
      </c>
      <c r="C1415" s="12" t="s">
        <v>790</v>
      </c>
      <c r="D1415" s="12" t="s">
        <v>797</v>
      </c>
      <c r="E1415" s="12" t="s">
        <v>607</v>
      </c>
      <c r="F1415" s="12" t="s">
        <v>799</v>
      </c>
      <c r="G1415" s="55">
        <v>5687</v>
      </c>
      <c r="H1415" s="55">
        <v>8363</v>
      </c>
      <c r="I1415" s="2" t="b">
        <f t="shared" ref="I1415:I1478" si="23">AND($K$9=C1415,$L$9=D1415,$M$9=F1415)</f>
        <v>0</v>
      </c>
    </row>
    <row r="1416" spans="2:9" x14ac:dyDescent="0.25">
      <c r="B1416" s="161">
        <v>41439</v>
      </c>
      <c r="C1416" s="12" t="s">
        <v>805</v>
      </c>
      <c r="D1416" s="12" t="s">
        <v>801</v>
      </c>
      <c r="E1416" s="12" t="s">
        <v>807</v>
      </c>
      <c r="F1416" s="12" t="s">
        <v>799</v>
      </c>
      <c r="G1416" s="55">
        <v>2553</v>
      </c>
      <c r="H1416" s="55">
        <v>3755</v>
      </c>
      <c r="I1416" s="2" t="b">
        <f t="shared" si="23"/>
        <v>0</v>
      </c>
    </row>
    <row r="1417" spans="2:9" x14ac:dyDescent="0.25">
      <c r="B1417" s="161">
        <v>41050</v>
      </c>
      <c r="C1417" s="12" t="s">
        <v>790</v>
      </c>
      <c r="D1417" s="12" t="s">
        <v>797</v>
      </c>
      <c r="E1417" s="12" t="s">
        <v>795</v>
      </c>
      <c r="F1417" s="12" t="s">
        <v>799</v>
      </c>
      <c r="G1417" s="55">
        <v>1658</v>
      </c>
      <c r="H1417" s="55">
        <v>3685</v>
      </c>
      <c r="I1417" s="2" t="b">
        <f t="shared" si="23"/>
        <v>0</v>
      </c>
    </row>
    <row r="1418" spans="2:9" x14ac:dyDescent="0.25">
      <c r="B1418" s="161">
        <v>41154</v>
      </c>
      <c r="C1418" s="12" t="s">
        <v>802</v>
      </c>
      <c r="D1418" s="12" t="s">
        <v>797</v>
      </c>
      <c r="E1418" s="12" t="s">
        <v>803</v>
      </c>
      <c r="F1418" s="12" t="s">
        <v>791</v>
      </c>
      <c r="G1418" s="55">
        <v>1514</v>
      </c>
      <c r="H1418" s="55">
        <v>4093</v>
      </c>
      <c r="I1418" s="2" t="b">
        <f t="shared" si="23"/>
        <v>0</v>
      </c>
    </row>
    <row r="1419" spans="2:9" x14ac:dyDescent="0.25">
      <c r="B1419" s="161">
        <v>41395</v>
      </c>
      <c r="C1419" s="12" t="s">
        <v>790</v>
      </c>
      <c r="D1419" s="12" t="s">
        <v>801</v>
      </c>
      <c r="E1419" s="12" t="s">
        <v>807</v>
      </c>
      <c r="F1419" s="12" t="s">
        <v>799</v>
      </c>
      <c r="G1419" s="55">
        <v>3652</v>
      </c>
      <c r="H1419" s="55">
        <v>5369</v>
      </c>
      <c r="I1419" s="2" t="b">
        <f t="shared" si="23"/>
        <v>0</v>
      </c>
    </row>
    <row r="1420" spans="2:9" x14ac:dyDescent="0.25">
      <c r="B1420" s="161">
        <v>41309</v>
      </c>
      <c r="C1420" s="12" t="s">
        <v>802</v>
      </c>
      <c r="D1420" s="12" t="s">
        <v>652</v>
      </c>
      <c r="E1420" s="12" t="s">
        <v>607</v>
      </c>
      <c r="F1420" s="12" t="s">
        <v>791</v>
      </c>
      <c r="G1420" s="55">
        <v>218</v>
      </c>
      <c r="H1420" s="55">
        <v>234</v>
      </c>
      <c r="I1420" s="2" t="b">
        <f t="shared" si="23"/>
        <v>0</v>
      </c>
    </row>
    <row r="1421" spans="2:9" x14ac:dyDescent="0.25">
      <c r="B1421" s="161">
        <v>41160</v>
      </c>
      <c r="C1421" s="12" t="s">
        <v>792</v>
      </c>
      <c r="D1421" s="12" t="s">
        <v>457</v>
      </c>
      <c r="E1421" s="12" t="s">
        <v>798</v>
      </c>
      <c r="F1421" s="12" t="s">
        <v>794</v>
      </c>
      <c r="G1421" s="55">
        <v>1054</v>
      </c>
      <c r="H1421" s="55">
        <v>1818</v>
      </c>
      <c r="I1421" s="2" t="b">
        <f t="shared" si="23"/>
        <v>1</v>
      </c>
    </row>
    <row r="1422" spans="2:9" x14ac:dyDescent="0.25">
      <c r="B1422" s="161">
        <v>41144</v>
      </c>
      <c r="C1422" s="12" t="s">
        <v>790</v>
      </c>
      <c r="D1422" s="12" t="s">
        <v>801</v>
      </c>
      <c r="E1422" s="12" t="s">
        <v>808</v>
      </c>
      <c r="F1422" s="12" t="s">
        <v>791</v>
      </c>
      <c r="G1422" s="55">
        <v>5303</v>
      </c>
      <c r="H1422" s="55">
        <v>8987</v>
      </c>
      <c r="I1422" s="2" t="b">
        <f t="shared" si="23"/>
        <v>0</v>
      </c>
    </row>
    <row r="1423" spans="2:9" x14ac:dyDescent="0.25">
      <c r="B1423" s="161">
        <v>41371</v>
      </c>
      <c r="C1423" s="12" t="s">
        <v>802</v>
      </c>
      <c r="D1423" s="12" t="s">
        <v>457</v>
      </c>
      <c r="E1423" s="12" t="s">
        <v>793</v>
      </c>
      <c r="F1423" s="12" t="s">
        <v>794</v>
      </c>
      <c r="G1423" s="55">
        <v>913</v>
      </c>
      <c r="H1423" s="55">
        <v>1575</v>
      </c>
      <c r="I1423" s="2" t="b">
        <f t="shared" si="23"/>
        <v>0</v>
      </c>
    </row>
    <row r="1424" spans="2:9" x14ac:dyDescent="0.25">
      <c r="B1424" s="161">
        <v>40931</v>
      </c>
      <c r="C1424" s="12" t="s">
        <v>805</v>
      </c>
      <c r="D1424" s="12" t="s">
        <v>797</v>
      </c>
      <c r="E1424" s="12" t="s">
        <v>607</v>
      </c>
      <c r="F1424" s="12" t="s">
        <v>799</v>
      </c>
      <c r="G1424" s="55">
        <v>3497</v>
      </c>
      <c r="H1424" s="55">
        <v>9454</v>
      </c>
      <c r="I1424" s="2" t="b">
        <f t="shared" si="23"/>
        <v>0</v>
      </c>
    </row>
    <row r="1425" spans="2:9" x14ac:dyDescent="0.25">
      <c r="B1425" s="161">
        <v>41405</v>
      </c>
      <c r="C1425" s="12" t="s">
        <v>805</v>
      </c>
      <c r="D1425" s="12" t="s">
        <v>652</v>
      </c>
      <c r="E1425" s="12" t="s">
        <v>808</v>
      </c>
      <c r="F1425" s="12" t="s">
        <v>791</v>
      </c>
      <c r="G1425" s="55">
        <v>6236</v>
      </c>
      <c r="H1425" s="55">
        <v>7087</v>
      </c>
      <c r="I1425" s="2" t="b">
        <f t="shared" si="23"/>
        <v>0</v>
      </c>
    </row>
    <row r="1426" spans="2:9" x14ac:dyDescent="0.25">
      <c r="B1426" s="161">
        <v>41621</v>
      </c>
      <c r="C1426" s="12" t="s">
        <v>802</v>
      </c>
      <c r="D1426" s="12" t="s">
        <v>801</v>
      </c>
      <c r="E1426" s="12" t="s">
        <v>803</v>
      </c>
      <c r="F1426" s="12" t="s">
        <v>799</v>
      </c>
      <c r="G1426" s="55">
        <v>3801</v>
      </c>
      <c r="H1426" s="55">
        <v>8838</v>
      </c>
      <c r="I1426" s="2" t="b">
        <f t="shared" si="23"/>
        <v>0</v>
      </c>
    </row>
    <row r="1427" spans="2:9" x14ac:dyDescent="0.25">
      <c r="B1427" s="161">
        <v>40962</v>
      </c>
      <c r="C1427" s="12" t="s">
        <v>805</v>
      </c>
      <c r="D1427" s="12" t="s">
        <v>652</v>
      </c>
      <c r="E1427" s="12" t="s">
        <v>806</v>
      </c>
      <c r="F1427" s="12" t="s">
        <v>791</v>
      </c>
      <c r="G1427" s="55">
        <v>924</v>
      </c>
      <c r="H1427" s="55">
        <v>2499</v>
      </c>
      <c r="I1427" s="2" t="b">
        <f t="shared" si="23"/>
        <v>0</v>
      </c>
    </row>
    <row r="1428" spans="2:9" x14ac:dyDescent="0.25">
      <c r="B1428" s="161">
        <v>41502</v>
      </c>
      <c r="C1428" s="12" t="s">
        <v>805</v>
      </c>
      <c r="D1428" s="12" t="s">
        <v>457</v>
      </c>
      <c r="E1428" s="12" t="s">
        <v>804</v>
      </c>
      <c r="F1428" s="12" t="s">
        <v>799</v>
      </c>
      <c r="G1428" s="55">
        <v>2192</v>
      </c>
      <c r="H1428" s="55">
        <v>5094</v>
      </c>
      <c r="I1428" s="2" t="b">
        <f t="shared" si="23"/>
        <v>0</v>
      </c>
    </row>
    <row r="1429" spans="2:9" x14ac:dyDescent="0.25">
      <c r="B1429" s="161">
        <v>41636</v>
      </c>
      <c r="C1429" s="12" t="s">
        <v>805</v>
      </c>
      <c r="D1429" s="12" t="s">
        <v>652</v>
      </c>
      <c r="E1429" s="12" t="s">
        <v>795</v>
      </c>
      <c r="F1429" s="12" t="s">
        <v>796</v>
      </c>
      <c r="G1429" s="55">
        <v>3730</v>
      </c>
      <c r="H1429" s="55">
        <v>6320</v>
      </c>
      <c r="I1429" s="2" t="b">
        <f t="shared" si="23"/>
        <v>0</v>
      </c>
    </row>
    <row r="1430" spans="2:9" x14ac:dyDescent="0.25">
      <c r="B1430" s="161">
        <v>41429</v>
      </c>
      <c r="C1430" s="12" t="s">
        <v>790</v>
      </c>
      <c r="D1430" s="12" t="s">
        <v>457</v>
      </c>
      <c r="E1430" s="12" t="s">
        <v>808</v>
      </c>
      <c r="F1430" s="12" t="s">
        <v>799</v>
      </c>
      <c r="G1430" s="55">
        <v>1897</v>
      </c>
      <c r="H1430" s="55">
        <v>3448</v>
      </c>
      <c r="I1430" s="2" t="b">
        <f t="shared" si="23"/>
        <v>0</v>
      </c>
    </row>
    <row r="1431" spans="2:9" x14ac:dyDescent="0.25">
      <c r="B1431" s="161">
        <v>41084</v>
      </c>
      <c r="C1431" s="12" t="s">
        <v>792</v>
      </c>
      <c r="D1431" s="12" t="s">
        <v>801</v>
      </c>
      <c r="E1431" s="12" t="s">
        <v>806</v>
      </c>
      <c r="F1431" s="12" t="s">
        <v>791</v>
      </c>
      <c r="G1431" s="55">
        <v>1403</v>
      </c>
      <c r="H1431" s="55">
        <v>1595</v>
      </c>
      <c r="I1431" s="2" t="b">
        <f t="shared" si="23"/>
        <v>0</v>
      </c>
    </row>
    <row r="1432" spans="2:9" x14ac:dyDescent="0.25">
      <c r="B1432" s="161">
        <v>41000</v>
      </c>
      <c r="C1432" s="12" t="s">
        <v>802</v>
      </c>
      <c r="D1432" s="12" t="s">
        <v>797</v>
      </c>
      <c r="E1432" s="12" t="s">
        <v>808</v>
      </c>
      <c r="F1432" s="12" t="s">
        <v>796</v>
      </c>
      <c r="G1432" s="55">
        <v>1507</v>
      </c>
      <c r="H1432" s="55">
        <v>2740</v>
      </c>
      <c r="I1432" s="2" t="b">
        <f t="shared" si="23"/>
        <v>0</v>
      </c>
    </row>
    <row r="1433" spans="2:9" x14ac:dyDescent="0.25">
      <c r="B1433" s="161">
        <v>41323</v>
      </c>
      <c r="C1433" s="12" t="s">
        <v>790</v>
      </c>
      <c r="D1433" s="12" t="s">
        <v>801</v>
      </c>
      <c r="E1433" s="12" t="s">
        <v>793</v>
      </c>
      <c r="F1433" s="12" t="s">
        <v>794</v>
      </c>
      <c r="G1433" s="55">
        <v>3720</v>
      </c>
      <c r="H1433" s="55">
        <v>4959</v>
      </c>
      <c r="I1433" s="2" t="b">
        <f t="shared" si="23"/>
        <v>0</v>
      </c>
    </row>
    <row r="1434" spans="2:9" x14ac:dyDescent="0.25">
      <c r="B1434" s="161">
        <v>41442</v>
      </c>
      <c r="C1434" s="12" t="s">
        <v>790</v>
      </c>
      <c r="D1434" s="12" t="s">
        <v>652</v>
      </c>
      <c r="E1434" s="12" t="s">
        <v>804</v>
      </c>
      <c r="F1434" s="12" t="s">
        <v>796</v>
      </c>
      <c r="G1434" s="55">
        <v>5839</v>
      </c>
      <c r="H1434" s="55">
        <v>7784</v>
      </c>
      <c r="I1434" s="2" t="b">
        <f t="shared" si="23"/>
        <v>0</v>
      </c>
    </row>
    <row r="1435" spans="2:9" x14ac:dyDescent="0.25">
      <c r="B1435" s="161">
        <v>40994</v>
      </c>
      <c r="C1435" s="12" t="s">
        <v>805</v>
      </c>
      <c r="D1435" s="12" t="s">
        <v>457</v>
      </c>
      <c r="E1435" s="12" t="s">
        <v>798</v>
      </c>
      <c r="F1435" s="12" t="s">
        <v>794</v>
      </c>
      <c r="G1435" s="55">
        <v>580</v>
      </c>
      <c r="H1435" s="55">
        <v>982</v>
      </c>
      <c r="I1435" s="2" t="b">
        <f t="shared" si="23"/>
        <v>0</v>
      </c>
    </row>
    <row r="1436" spans="2:9" x14ac:dyDescent="0.25">
      <c r="B1436" s="161">
        <v>41398</v>
      </c>
      <c r="C1436" s="12" t="s">
        <v>792</v>
      </c>
      <c r="D1436" s="12" t="s">
        <v>457</v>
      </c>
      <c r="E1436" s="12" t="s">
        <v>798</v>
      </c>
      <c r="F1436" s="12" t="s">
        <v>796</v>
      </c>
      <c r="G1436" s="55">
        <v>426</v>
      </c>
      <c r="H1436" s="55">
        <v>773</v>
      </c>
      <c r="I1436" s="2" t="b">
        <f t="shared" si="23"/>
        <v>0</v>
      </c>
    </row>
    <row r="1437" spans="2:9" x14ac:dyDescent="0.25">
      <c r="B1437" s="161">
        <v>41370</v>
      </c>
      <c r="C1437" s="12" t="s">
        <v>805</v>
      </c>
      <c r="D1437" s="12" t="s">
        <v>652</v>
      </c>
      <c r="E1437" s="12" t="s">
        <v>607</v>
      </c>
      <c r="F1437" s="12" t="s">
        <v>799</v>
      </c>
      <c r="G1437" s="55">
        <v>2219</v>
      </c>
      <c r="H1437" s="55">
        <v>2959</v>
      </c>
      <c r="I1437" s="2" t="b">
        <f t="shared" si="23"/>
        <v>0</v>
      </c>
    </row>
    <row r="1438" spans="2:9" x14ac:dyDescent="0.25">
      <c r="B1438" s="161">
        <v>40948</v>
      </c>
      <c r="C1438" s="12" t="s">
        <v>792</v>
      </c>
      <c r="D1438" s="12" t="s">
        <v>801</v>
      </c>
      <c r="E1438" s="12" t="s">
        <v>487</v>
      </c>
      <c r="F1438" s="12" t="s">
        <v>794</v>
      </c>
      <c r="G1438" s="55">
        <v>1141</v>
      </c>
      <c r="H1438" s="55">
        <v>2534</v>
      </c>
      <c r="I1438" s="2" t="b">
        <f t="shared" si="23"/>
        <v>0</v>
      </c>
    </row>
    <row r="1439" spans="2:9" x14ac:dyDescent="0.25">
      <c r="B1439" s="161">
        <v>41285</v>
      </c>
      <c r="C1439" s="12" t="s">
        <v>805</v>
      </c>
      <c r="D1439" s="12" t="s">
        <v>797</v>
      </c>
      <c r="E1439" s="12" t="s">
        <v>806</v>
      </c>
      <c r="F1439" s="12" t="s">
        <v>794</v>
      </c>
      <c r="G1439" s="55">
        <v>6172</v>
      </c>
      <c r="H1439" s="55">
        <v>8230</v>
      </c>
      <c r="I1439" s="2" t="b">
        <f t="shared" si="23"/>
        <v>0</v>
      </c>
    </row>
    <row r="1440" spans="2:9" x14ac:dyDescent="0.25">
      <c r="B1440" s="161">
        <v>41139</v>
      </c>
      <c r="C1440" s="12" t="s">
        <v>802</v>
      </c>
      <c r="D1440" s="12" t="s">
        <v>457</v>
      </c>
      <c r="E1440" s="12" t="s">
        <v>795</v>
      </c>
      <c r="F1440" s="12" t="s">
        <v>799</v>
      </c>
      <c r="G1440" s="55">
        <v>4845</v>
      </c>
      <c r="H1440" s="55">
        <v>7124</v>
      </c>
      <c r="I1440" s="2" t="b">
        <f t="shared" si="23"/>
        <v>0</v>
      </c>
    </row>
    <row r="1441" spans="2:9" x14ac:dyDescent="0.25">
      <c r="B1441" s="161">
        <v>41484</v>
      </c>
      <c r="C1441" s="12" t="s">
        <v>792</v>
      </c>
      <c r="D1441" s="12" t="s">
        <v>797</v>
      </c>
      <c r="E1441" s="12" t="s">
        <v>800</v>
      </c>
      <c r="F1441" s="12" t="s">
        <v>791</v>
      </c>
      <c r="G1441" s="55">
        <v>2259</v>
      </c>
      <c r="H1441" s="55">
        <v>3897</v>
      </c>
      <c r="I1441" s="2" t="b">
        <f t="shared" si="23"/>
        <v>0</v>
      </c>
    </row>
    <row r="1442" spans="2:9" x14ac:dyDescent="0.25">
      <c r="B1442" s="161">
        <v>41067</v>
      </c>
      <c r="C1442" s="12" t="s">
        <v>802</v>
      </c>
      <c r="D1442" s="12" t="s">
        <v>652</v>
      </c>
      <c r="E1442" s="12" t="s">
        <v>804</v>
      </c>
      <c r="F1442" s="12" t="s">
        <v>794</v>
      </c>
      <c r="G1442" s="55">
        <v>4825</v>
      </c>
      <c r="H1442" s="55">
        <v>5483</v>
      </c>
      <c r="I1442" s="2" t="b">
        <f t="shared" si="23"/>
        <v>0</v>
      </c>
    </row>
    <row r="1443" spans="2:9" x14ac:dyDescent="0.25">
      <c r="B1443" s="161">
        <v>41108</v>
      </c>
      <c r="C1443" s="12" t="s">
        <v>805</v>
      </c>
      <c r="D1443" s="12" t="s">
        <v>652</v>
      </c>
      <c r="E1443" s="12" t="s">
        <v>607</v>
      </c>
      <c r="F1443" s="12" t="s">
        <v>794</v>
      </c>
      <c r="G1443" s="55">
        <v>3885</v>
      </c>
      <c r="H1443" s="55">
        <v>7066</v>
      </c>
      <c r="I1443" s="2" t="b">
        <f t="shared" si="23"/>
        <v>0</v>
      </c>
    </row>
    <row r="1444" spans="2:9" x14ac:dyDescent="0.25">
      <c r="B1444" s="161">
        <v>41028</v>
      </c>
      <c r="C1444" s="12" t="s">
        <v>805</v>
      </c>
      <c r="D1444" s="12" t="s">
        <v>652</v>
      </c>
      <c r="E1444" s="12" t="s">
        <v>806</v>
      </c>
      <c r="F1444" s="12" t="s">
        <v>794</v>
      </c>
      <c r="G1444" s="55">
        <v>196</v>
      </c>
      <c r="H1444" s="55">
        <v>435</v>
      </c>
      <c r="I1444" s="2" t="b">
        <f t="shared" si="23"/>
        <v>0</v>
      </c>
    </row>
    <row r="1445" spans="2:9" x14ac:dyDescent="0.25">
      <c r="B1445" s="161">
        <v>41250</v>
      </c>
      <c r="C1445" s="12" t="s">
        <v>805</v>
      </c>
      <c r="D1445" s="12" t="s">
        <v>457</v>
      </c>
      <c r="E1445" s="12" t="s">
        <v>793</v>
      </c>
      <c r="F1445" s="12" t="s">
        <v>799</v>
      </c>
      <c r="G1445" s="55">
        <v>4051</v>
      </c>
      <c r="H1445" s="55">
        <v>9422</v>
      </c>
      <c r="I1445" s="2" t="b">
        <f t="shared" si="23"/>
        <v>0</v>
      </c>
    </row>
    <row r="1446" spans="2:9" x14ac:dyDescent="0.25">
      <c r="B1446" s="161">
        <v>41075</v>
      </c>
      <c r="C1446" s="12" t="s">
        <v>792</v>
      </c>
      <c r="D1446" s="12" t="s">
        <v>797</v>
      </c>
      <c r="E1446" s="12" t="s">
        <v>806</v>
      </c>
      <c r="F1446" s="12" t="s">
        <v>799</v>
      </c>
      <c r="G1446" s="55">
        <v>736</v>
      </c>
      <c r="H1446" s="55">
        <v>838</v>
      </c>
      <c r="I1446" s="2" t="b">
        <f t="shared" si="23"/>
        <v>0</v>
      </c>
    </row>
    <row r="1447" spans="2:9" x14ac:dyDescent="0.25">
      <c r="B1447" s="161">
        <v>41022</v>
      </c>
      <c r="C1447" s="12" t="s">
        <v>792</v>
      </c>
      <c r="D1447" s="12" t="s">
        <v>797</v>
      </c>
      <c r="E1447" s="12" t="s">
        <v>807</v>
      </c>
      <c r="F1447" s="12" t="s">
        <v>791</v>
      </c>
      <c r="G1447" s="55">
        <v>208</v>
      </c>
      <c r="H1447" s="55">
        <v>305</v>
      </c>
      <c r="I1447" s="2" t="b">
        <f t="shared" si="23"/>
        <v>0</v>
      </c>
    </row>
    <row r="1448" spans="2:9" x14ac:dyDescent="0.25">
      <c r="B1448" s="161">
        <v>41556</v>
      </c>
      <c r="C1448" s="12" t="s">
        <v>805</v>
      </c>
      <c r="D1448" s="12" t="s">
        <v>797</v>
      </c>
      <c r="E1448" s="12" t="s">
        <v>798</v>
      </c>
      <c r="F1448" s="12" t="s">
        <v>796</v>
      </c>
      <c r="G1448" s="55">
        <v>1744</v>
      </c>
      <c r="H1448" s="55">
        <v>2325</v>
      </c>
      <c r="I1448" s="2" t="b">
        <f t="shared" si="23"/>
        <v>0</v>
      </c>
    </row>
    <row r="1449" spans="2:9" x14ac:dyDescent="0.25">
      <c r="B1449" s="161">
        <v>41166</v>
      </c>
      <c r="C1449" s="12" t="s">
        <v>790</v>
      </c>
      <c r="D1449" s="12" t="s">
        <v>652</v>
      </c>
      <c r="E1449" s="12" t="s">
        <v>487</v>
      </c>
      <c r="F1449" s="12" t="s">
        <v>799</v>
      </c>
      <c r="G1449" s="55">
        <v>3230</v>
      </c>
      <c r="H1449" s="55">
        <v>3455</v>
      </c>
      <c r="I1449" s="2" t="b">
        <f t="shared" si="23"/>
        <v>0</v>
      </c>
    </row>
    <row r="1450" spans="2:9" x14ac:dyDescent="0.25">
      <c r="B1450" s="161">
        <v>40986</v>
      </c>
      <c r="C1450" s="12" t="s">
        <v>790</v>
      </c>
      <c r="D1450" s="12" t="s">
        <v>457</v>
      </c>
      <c r="E1450" s="12" t="s">
        <v>808</v>
      </c>
      <c r="F1450" s="12" t="s">
        <v>791</v>
      </c>
      <c r="G1450" s="55">
        <v>1761</v>
      </c>
      <c r="H1450" s="55">
        <v>4094</v>
      </c>
      <c r="I1450" s="2" t="b">
        <f t="shared" si="23"/>
        <v>0</v>
      </c>
    </row>
    <row r="1451" spans="2:9" x14ac:dyDescent="0.25">
      <c r="B1451" s="161">
        <v>41067</v>
      </c>
      <c r="C1451" s="12" t="s">
        <v>805</v>
      </c>
      <c r="D1451" s="12" t="s">
        <v>652</v>
      </c>
      <c r="E1451" s="12" t="s">
        <v>803</v>
      </c>
      <c r="F1451" s="12" t="s">
        <v>796</v>
      </c>
      <c r="G1451" s="55">
        <v>392</v>
      </c>
      <c r="H1451" s="55">
        <v>871</v>
      </c>
      <c r="I1451" s="2" t="b">
        <f t="shared" si="23"/>
        <v>0</v>
      </c>
    </row>
    <row r="1452" spans="2:9" x14ac:dyDescent="0.25">
      <c r="B1452" s="161">
        <v>41338</v>
      </c>
      <c r="C1452" s="12" t="s">
        <v>790</v>
      </c>
      <c r="D1452" s="12" t="s">
        <v>797</v>
      </c>
      <c r="E1452" s="12" t="s">
        <v>808</v>
      </c>
      <c r="F1452" s="12" t="s">
        <v>799</v>
      </c>
      <c r="G1452" s="55">
        <v>756</v>
      </c>
      <c r="H1452" s="55">
        <v>1373</v>
      </c>
      <c r="I1452" s="2" t="b">
        <f t="shared" si="23"/>
        <v>0</v>
      </c>
    </row>
    <row r="1453" spans="2:9" x14ac:dyDescent="0.25">
      <c r="B1453" s="161">
        <v>41467</v>
      </c>
      <c r="C1453" s="12" t="s">
        <v>792</v>
      </c>
      <c r="D1453" s="12" t="s">
        <v>801</v>
      </c>
      <c r="E1453" s="12" t="s">
        <v>803</v>
      </c>
      <c r="F1453" s="12" t="s">
        <v>796</v>
      </c>
      <c r="G1453" s="55">
        <v>289</v>
      </c>
      <c r="H1453" s="55">
        <v>327</v>
      </c>
      <c r="I1453" s="2" t="b">
        <f t="shared" si="23"/>
        <v>0</v>
      </c>
    </row>
    <row r="1454" spans="2:9" x14ac:dyDescent="0.25">
      <c r="B1454" s="161">
        <v>41299</v>
      </c>
      <c r="C1454" s="12" t="s">
        <v>805</v>
      </c>
      <c r="D1454" s="12" t="s">
        <v>457</v>
      </c>
      <c r="E1454" s="12" t="s">
        <v>607</v>
      </c>
      <c r="F1454" s="12" t="s">
        <v>796</v>
      </c>
      <c r="G1454" s="55">
        <v>1459</v>
      </c>
      <c r="H1454" s="55">
        <v>2144</v>
      </c>
      <c r="I1454" s="2" t="b">
        <f t="shared" si="23"/>
        <v>0</v>
      </c>
    </row>
    <row r="1455" spans="2:9" x14ac:dyDescent="0.25">
      <c r="B1455" s="161">
        <v>40950</v>
      </c>
      <c r="C1455" s="12" t="s">
        <v>805</v>
      </c>
      <c r="D1455" s="12" t="s">
        <v>801</v>
      </c>
      <c r="E1455" s="12" t="s">
        <v>798</v>
      </c>
      <c r="F1455" s="12" t="s">
        <v>799</v>
      </c>
      <c r="G1455" s="55">
        <v>4674</v>
      </c>
      <c r="H1455" s="55">
        <v>7922</v>
      </c>
      <c r="I1455" s="2" t="b">
        <f t="shared" si="23"/>
        <v>0</v>
      </c>
    </row>
    <row r="1456" spans="2:9" x14ac:dyDescent="0.25">
      <c r="B1456" s="161">
        <v>41589</v>
      </c>
      <c r="C1456" s="12" t="s">
        <v>790</v>
      </c>
      <c r="D1456" s="12" t="s">
        <v>457</v>
      </c>
      <c r="E1456" s="12" t="s">
        <v>809</v>
      </c>
      <c r="F1456" s="12" t="s">
        <v>794</v>
      </c>
      <c r="G1456" s="55">
        <v>3891</v>
      </c>
      <c r="H1456" s="55">
        <v>6710</v>
      </c>
      <c r="I1456" s="2" t="b">
        <f t="shared" si="23"/>
        <v>0</v>
      </c>
    </row>
    <row r="1457" spans="2:9" x14ac:dyDescent="0.25">
      <c r="B1457" s="161">
        <v>40953</v>
      </c>
      <c r="C1457" s="12" t="s">
        <v>792</v>
      </c>
      <c r="D1457" s="12" t="s">
        <v>652</v>
      </c>
      <c r="E1457" s="12" t="s">
        <v>803</v>
      </c>
      <c r="F1457" s="12" t="s">
        <v>791</v>
      </c>
      <c r="G1457" s="55">
        <v>1402</v>
      </c>
      <c r="H1457" s="55">
        <v>2375</v>
      </c>
      <c r="I1457" s="2" t="b">
        <f t="shared" si="23"/>
        <v>0</v>
      </c>
    </row>
    <row r="1458" spans="2:9" x14ac:dyDescent="0.25">
      <c r="B1458" s="161">
        <v>41044</v>
      </c>
      <c r="C1458" s="12" t="s">
        <v>792</v>
      </c>
      <c r="D1458" s="12" t="s">
        <v>801</v>
      </c>
      <c r="E1458" s="12" t="s">
        <v>807</v>
      </c>
      <c r="F1458" s="12" t="s">
        <v>794</v>
      </c>
      <c r="G1458" s="55">
        <v>1018</v>
      </c>
      <c r="H1458" s="55">
        <v>2753</v>
      </c>
      <c r="I1458" s="2" t="b">
        <f t="shared" si="23"/>
        <v>0</v>
      </c>
    </row>
    <row r="1459" spans="2:9" x14ac:dyDescent="0.25">
      <c r="B1459" s="161">
        <v>41345</v>
      </c>
      <c r="C1459" s="12" t="s">
        <v>792</v>
      </c>
      <c r="D1459" s="12" t="s">
        <v>652</v>
      </c>
      <c r="E1459" s="12" t="s">
        <v>798</v>
      </c>
      <c r="F1459" s="12" t="s">
        <v>796</v>
      </c>
      <c r="G1459" s="55">
        <v>4266</v>
      </c>
      <c r="H1459" s="55">
        <v>4847</v>
      </c>
      <c r="I1459" s="2" t="b">
        <f t="shared" si="23"/>
        <v>0</v>
      </c>
    </row>
    <row r="1460" spans="2:9" x14ac:dyDescent="0.25">
      <c r="B1460" s="161">
        <v>40976</v>
      </c>
      <c r="C1460" s="12" t="s">
        <v>792</v>
      </c>
      <c r="D1460" s="12" t="s">
        <v>652</v>
      </c>
      <c r="E1460" s="12" t="s">
        <v>808</v>
      </c>
      <c r="F1460" s="12" t="s">
        <v>791</v>
      </c>
      <c r="G1460" s="55">
        <v>219</v>
      </c>
      <c r="H1460" s="55">
        <v>291</v>
      </c>
      <c r="I1460" s="2" t="b">
        <f t="shared" si="23"/>
        <v>0</v>
      </c>
    </row>
    <row r="1461" spans="2:9" x14ac:dyDescent="0.25">
      <c r="B1461" s="161">
        <v>41175</v>
      </c>
      <c r="C1461" s="12" t="s">
        <v>790</v>
      </c>
      <c r="D1461" s="12" t="s">
        <v>457</v>
      </c>
      <c r="E1461" s="12" t="s">
        <v>793</v>
      </c>
      <c r="F1461" s="12" t="s">
        <v>794</v>
      </c>
      <c r="G1461" s="55">
        <v>2422</v>
      </c>
      <c r="H1461" s="55">
        <v>3562</v>
      </c>
      <c r="I1461" s="2" t="b">
        <f t="shared" si="23"/>
        <v>0</v>
      </c>
    </row>
    <row r="1462" spans="2:9" x14ac:dyDescent="0.25">
      <c r="B1462" s="161">
        <v>41444</v>
      </c>
      <c r="C1462" s="12" t="s">
        <v>805</v>
      </c>
      <c r="D1462" s="12" t="s">
        <v>457</v>
      </c>
      <c r="E1462" s="12" t="s">
        <v>795</v>
      </c>
      <c r="F1462" s="12" t="s">
        <v>796</v>
      </c>
      <c r="G1462" s="55">
        <v>582</v>
      </c>
      <c r="H1462" s="55">
        <v>854</v>
      </c>
      <c r="I1462" s="2" t="b">
        <f t="shared" si="23"/>
        <v>0</v>
      </c>
    </row>
    <row r="1463" spans="2:9" x14ac:dyDescent="0.25">
      <c r="B1463" s="161">
        <v>41109</v>
      </c>
      <c r="C1463" s="12" t="s">
        <v>802</v>
      </c>
      <c r="D1463" s="12" t="s">
        <v>797</v>
      </c>
      <c r="E1463" s="12" t="s">
        <v>806</v>
      </c>
      <c r="F1463" s="12" t="s">
        <v>791</v>
      </c>
      <c r="G1463" s="55">
        <v>827</v>
      </c>
      <c r="H1463" s="55">
        <v>1503</v>
      </c>
      <c r="I1463" s="2" t="b">
        <f t="shared" si="23"/>
        <v>0</v>
      </c>
    </row>
    <row r="1464" spans="2:9" x14ac:dyDescent="0.25">
      <c r="B1464" s="161">
        <v>41297</v>
      </c>
      <c r="C1464" s="12" t="s">
        <v>790</v>
      </c>
      <c r="D1464" s="12" t="s">
        <v>652</v>
      </c>
      <c r="E1464" s="12" t="s">
        <v>487</v>
      </c>
      <c r="F1464" s="12" t="s">
        <v>799</v>
      </c>
      <c r="G1464" s="55">
        <v>4448</v>
      </c>
      <c r="H1464" s="55">
        <v>6543</v>
      </c>
      <c r="I1464" s="2" t="b">
        <f t="shared" si="23"/>
        <v>0</v>
      </c>
    </row>
    <row r="1465" spans="2:9" x14ac:dyDescent="0.25">
      <c r="B1465" s="161">
        <v>41547</v>
      </c>
      <c r="C1465" s="12" t="s">
        <v>805</v>
      </c>
      <c r="D1465" s="12" t="s">
        <v>801</v>
      </c>
      <c r="E1465" s="12" t="s">
        <v>809</v>
      </c>
      <c r="F1465" s="12" t="s">
        <v>796</v>
      </c>
      <c r="G1465" s="55">
        <v>6349</v>
      </c>
      <c r="H1465" s="55">
        <v>6789</v>
      </c>
      <c r="I1465" s="2" t="b">
        <f t="shared" si="23"/>
        <v>0</v>
      </c>
    </row>
    <row r="1466" spans="2:9" x14ac:dyDescent="0.25">
      <c r="B1466" s="161">
        <v>41258</v>
      </c>
      <c r="C1466" s="12" t="s">
        <v>802</v>
      </c>
      <c r="D1466" s="12" t="s">
        <v>457</v>
      </c>
      <c r="E1466" s="12" t="s">
        <v>795</v>
      </c>
      <c r="F1466" s="12" t="s">
        <v>794</v>
      </c>
      <c r="G1466" s="55">
        <v>6419</v>
      </c>
      <c r="H1466" s="55">
        <v>6866</v>
      </c>
      <c r="I1466" s="2" t="b">
        <f t="shared" si="23"/>
        <v>0</v>
      </c>
    </row>
    <row r="1467" spans="2:9" x14ac:dyDescent="0.25">
      <c r="B1467" s="161">
        <v>41306</v>
      </c>
      <c r="C1467" s="12" t="s">
        <v>792</v>
      </c>
      <c r="D1467" s="12" t="s">
        <v>801</v>
      </c>
      <c r="E1467" s="12" t="s">
        <v>806</v>
      </c>
      <c r="F1467" s="12" t="s">
        <v>796</v>
      </c>
      <c r="G1467" s="55">
        <v>143</v>
      </c>
      <c r="H1467" s="55">
        <v>208</v>
      </c>
      <c r="I1467" s="2" t="b">
        <f t="shared" si="23"/>
        <v>0</v>
      </c>
    </row>
    <row r="1468" spans="2:9" x14ac:dyDescent="0.25">
      <c r="B1468" s="161">
        <v>41286</v>
      </c>
      <c r="C1468" s="12" t="s">
        <v>802</v>
      </c>
      <c r="D1468" s="12" t="s">
        <v>801</v>
      </c>
      <c r="E1468" s="12" t="s">
        <v>795</v>
      </c>
      <c r="F1468" s="12" t="s">
        <v>799</v>
      </c>
      <c r="G1468" s="55">
        <v>3306</v>
      </c>
      <c r="H1468" s="55">
        <v>7346</v>
      </c>
      <c r="I1468" s="2" t="b">
        <f t="shared" si="23"/>
        <v>0</v>
      </c>
    </row>
    <row r="1469" spans="2:9" x14ac:dyDescent="0.25">
      <c r="B1469" s="161">
        <v>41614</v>
      </c>
      <c r="C1469" s="12" t="s">
        <v>802</v>
      </c>
      <c r="D1469" s="12" t="s">
        <v>652</v>
      </c>
      <c r="E1469" s="12" t="s">
        <v>803</v>
      </c>
      <c r="F1469" s="12" t="s">
        <v>799</v>
      </c>
      <c r="G1469" s="55">
        <v>32</v>
      </c>
      <c r="H1469" s="55">
        <v>47</v>
      </c>
      <c r="I1469" s="2" t="b">
        <f t="shared" si="23"/>
        <v>0</v>
      </c>
    </row>
    <row r="1470" spans="2:9" x14ac:dyDescent="0.25">
      <c r="B1470" s="161">
        <v>41449</v>
      </c>
      <c r="C1470" s="12" t="s">
        <v>802</v>
      </c>
      <c r="D1470" s="12" t="s">
        <v>457</v>
      </c>
      <c r="E1470" s="12" t="s">
        <v>809</v>
      </c>
      <c r="F1470" s="12" t="s">
        <v>794</v>
      </c>
      <c r="G1470" s="55">
        <v>3190</v>
      </c>
      <c r="H1470" s="55">
        <v>3411</v>
      </c>
      <c r="I1470" s="2" t="b">
        <f t="shared" si="23"/>
        <v>0</v>
      </c>
    </row>
    <row r="1471" spans="2:9" x14ac:dyDescent="0.25">
      <c r="B1471" s="161">
        <v>41058</v>
      </c>
      <c r="C1471" s="12" t="s">
        <v>792</v>
      </c>
      <c r="D1471" s="12" t="s">
        <v>797</v>
      </c>
      <c r="E1471" s="12" t="s">
        <v>487</v>
      </c>
      <c r="F1471" s="12" t="s">
        <v>794</v>
      </c>
      <c r="G1471" s="55">
        <v>2671</v>
      </c>
      <c r="H1471" s="55">
        <v>4855</v>
      </c>
      <c r="I1471" s="2" t="b">
        <f t="shared" si="23"/>
        <v>0</v>
      </c>
    </row>
    <row r="1472" spans="2:9" x14ac:dyDescent="0.25">
      <c r="B1472" s="161">
        <v>40936</v>
      </c>
      <c r="C1472" s="12" t="s">
        <v>792</v>
      </c>
      <c r="D1472" s="12" t="s">
        <v>457</v>
      </c>
      <c r="E1472" s="12" t="s">
        <v>798</v>
      </c>
      <c r="F1472" s="12" t="s">
        <v>799</v>
      </c>
      <c r="G1472" s="55">
        <v>3278</v>
      </c>
      <c r="H1472" s="55">
        <v>3506</v>
      </c>
      <c r="I1472" s="2" t="b">
        <f t="shared" si="23"/>
        <v>0</v>
      </c>
    </row>
    <row r="1473" spans="2:9" x14ac:dyDescent="0.25">
      <c r="B1473" s="161">
        <v>41615</v>
      </c>
      <c r="C1473" s="12" t="s">
        <v>792</v>
      </c>
      <c r="D1473" s="12" t="s">
        <v>797</v>
      </c>
      <c r="E1473" s="12" t="s">
        <v>808</v>
      </c>
      <c r="F1473" s="12" t="s">
        <v>799</v>
      </c>
      <c r="G1473" s="55">
        <v>3649</v>
      </c>
      <c r="H1473" s="55">
        <v>8109</v>
      </c>
      <c r="I1473" s="2" t="b">
        <f t="shared" si="23"/>
        <v>0</v>
      </c>
    </row>
    <row r="1474" spans="2:9" x14ac:dyDescent="0.25">
      <c r="B1474" s="161">
        <v>41055</v>
      </c>
      <c r="C1474" s="12" t="s">
        <v>802</v>
      </c>
      <c r="D1474" s="12" t="s">
        <v>797</v>
      </c>
      <c r="E1474" s="12" t="s">
        <v>795</v>
      </c>
      <c r="F1474" s="12" t="s">
        <v>796</v>
      </c>
      <c r="G1474" s="55">
        <v>5847</v>
      </c>
      <c r="H1474" s="55">
        <v>7796</v>
      </c>
      <c r="I1474" s="2" t="b">
        <f t="shared" si="23"/>
        <v>0</v>
      </c>
    </row>
    <row r="1475" spans="2:9" x14ac:dyDescent="0.25">
      <c r="B1475" s="161">
        <v>41056</v>
      </c>
      <c r="C1475" s="12" t="s">
        <v>802</v>
      </c>
      <c r="D1475" s="12" t="s">
        <v>801</v>
      </c>
      <c r="E1475" s="12" t="s">
        <v>808</v>
      </c>
      <c r="F1475" s="12" t="s">
        <v>799</v>
      </c>
      <c r="G1475" s="55">
        <v>3352</v>
      </c>
      <c r="H1475" s="55">
        <v>9062</v>
      </c>
      <c r="I1475" s="2" t="b">
        <f t="shared" si="23"/>
        <v>0</v>
      </c>
    </row>
    <row r="1476" spans="2:9" x14ac:dyDescent="0.25">
      <c r="B1476" s="161">
        <v>41220</v>
      </c>
      <c r="C1476" s="12" t="s">
        <v>802</v>
      </c>
      <c r="D1476" s="12" t="s">
        <v>801</v>
      </c>
      <c r="E1476" s="12" t="s">
        <v>807</v>
      </c>
      <c r="F1476" s="12" t="s">
        <v>796</v>
      </c>
      <c r="G1476" s="55">
        <v>5666</v>
      </c>
      <c r="H1476" s="55">
        <v>6059</v>
      </c>
      <c r="I1476" s="2" t="b">
        <f t="shared" si="23"/>
        <v>0</v>
      </c>
    </row>
    <row r="1477" spans="2:9" x14ac:dyDescent="0.25">
      <c r="B1477" s="161">
        <v>40910</v>
      </c>
      <c r="C1477" s="12" t="s">
        <v>792</v>
      </c>
      <c r="D1477" s="12" t="s">
        <v>801</v>
      </c>
      <c r="E1477" s="12" t="s">
        <v>793</v>
      </c>
      <c r="F1477" s="12" t="s">
        <v>799</v>
      </c>
      <c r="G1477" s="55">
        <v>3592</v>
      </c>
      <c r="H1477" s="55">
        <v>6088</v>
      </c>
      <c r="I1477" s="2" t="b">
        <f t="shared" si="23"/>
        <v>0</v>
      </c>
    </row>
    <row r="1478" spans="2:9" x14ac:dyDescent="0.25">
      <c r="B1478" s="161">
        <v>40914</v>
      </c>
      <c r="C1478" s="12" t="s">
        <v>792</v>
      </c>
      <c r="D1478" s="12" t="s">
        <v>797</v>
      </c>
      <c r="E1478" s="12" t="s">
        <v>806</v>
      </c>
      <c r="F1478" s="12" t="s">
        <v>794</v>
      </c>
      <c r="G1478" s="55">
        <v>2795</v>
      </c>
      <c r="H1478" s="55">
        <v>4738</v>
      </c>
      <c r="I1478" s="2" t="b">
        <f t="shared" si="23"/>
        <v>0</v>
      </c>
    </row>
    <row r="1479" spans="2:9" x14ac:dyDescent="0.25">
      <c r="B1479" s="161">
        <v>41145</v>
      </c>
      <c r="C1479" s="12" t="s">
        <v>792</v>
      </c>
      <c r="D1479" s="12" t="s">
        <v>652</v>
      </c>
      <c r="E1479" s="12" t="s">
        <v>804</v>
      </c>
      <c r="F1479" s="12" t="s">
        <v>796</v>
      </c>
      <c r="G1479" s="55">
        <v>4633</v>
      </c>
      <c r="H1479" s="55">
        <v>7988</v>
      </c>
      <c r="I1479" s="2" t="b">
        <f t="shared" ref="I1479:I1542" si="24">AND($K$9=C1479,$L$9=D1479,$M$9=F1479)</f>
        <v>0</v>
      </c>
    </row>
    <row r="1480" spans="2:9" x14ac:dyDescent="0.25">
      <c r="B1480" s="161">
        <v>40980</v>
      </c>
      <c r="C1480" s="12" t="s">
        <v>805</v>
      </c>
      <c r="D1480" s="12" t="s">
        <v>457</v>
      </c>
      <c r="E1480" s="12" t="s">
        <v>806</v>
      </c>
      <c r="F1480" s="12" t="s">
        <v>791</v>
      </c>
      <c r="G1480" s="55">
        <v>3445</v>
      </c>
      <c r="H1480" s="55">
        <v>9311</v>
      </c>
      <c r="I1480" s="2" t="b">
        <f t="shared" si="24"/>
        <v>0</v>
      </c>
    </row>
    <row r="1481" spans="2:9" x14ac:dyDescent="0.25">
      <c r="B1481" s="161">
        <v>41496</v>
      </c>
      <c r="C1481" s="12" t="s">
        <v>790</v>
      </c>
      <c r="D1481" s="12" t="s">
        <v>652</v>
      </c>
      <c r="E1481" s="12" t="s">
        <v>803</v>
      </c>
      <c r="F1481" s="12" t="s">
        <v>794</v>
      </c>
      <c r="G1481" s="55">
        <v>5687</v>
      </c>
      <c r="H1481" s="55">
        <v>9804</v>
      </c>
      <c r="I1481" s="2" t="b">
        <f t="shared" si="24"/>
        <v>0</v>
      </c>
    </row>
    <row r="1482" spans="2:9" x14ac:dyDescent="0.25">
      <c r="B1482" s="161">
        <v>41449</v>
      </c>
      <c r="C1482" s="12" t="s">
        <v>792</v>
      </c>
      <c r="D1482" s="12" t="s">
        <v>652</v>
      </c>
      <c r="E1482" s="12" t="s">
        <v>803</v>
      </c>
      <c r="F1482" s="12" t="s">
        <v>796</v>
      </c>
      <c r="G1482" s="55">
        <v>2020</v>
      </c>
      <c r="H1482" s="55">
        <v>3423</v>
      </c>
      <c r="I1482" s="2" t="b">
        <f t="shared" si="24"/>
        <v>0</v>
      </c>
    </row>
    <row r="1483" spans="2:9" x14ac:dyDescent="0.25">
      <c r="B1483" s="161">
        <v>41149</v>
      </c>
      <c r="C1483" s="12" t="s">
        <v>805</v>
      </c>
      <c r="D1483" s="12" t="s">
        <v>797</v>
      </c>
      <c r="E1483" s="12" t="s">
        <v>804</v>
      </c>
      <c r="F1483" s="12" t="s">
        <v>799</v>
      </c>
      <c r="G1483" s="55">
        <v>5505</v>
      </c>
      <c r="H1483" s="55">
        <v>8094</v>
      </c>
      <c r="I1483" s="2" t="b">
        <f t="shared" si="24"/>
        <v>0</v>
      </c>
    </row>
    <row r="1484" spans="2:9" x14ac:dyDescent="0.25">
      <c r="B1484" s="161">
        <v>41196</v>
      </c>
      <c r="C1484" s="12" t="s">
        <v>805</v>
      </c>
      <c r="D1484" s="12" t="s">
        <v>797</v>
      </c>
      <c r="E1484" s="12" t="s">
        <v>795</v>
      </c>
      <c r="F1484" s="12" t="s">
        <v>791</v>
      </c>
      <c r="G1484" s="55">
        <v>4443</v>
      </c>
      <c r="H1484" s="55">
        <v>5049</v>
      </c>
      <c r="I1484" s="2" t="b">
        <f t="shared" si="24"/>
        <v>0</v>
      </c>
    </row>
    <row r="1485" spans="2:9" x14ac:dyDescent="0.25">
      <c r="B1485" s="161">
        <v>41309</v>
      </c>
      <c r="C1485" s="12" t="s">
        <v>805</v>
      </c>
      <c r="D1485" s="12" t="s">
        <v>797</v>
      </c>
      <c r="E1485" s="12" t="s">
        <v>798</v>
      </c>
      <c r="F1485" s="12" t="s">
        <v>794</v>
      </c>
      <c r="G1485" s="55">
        <v>1466</v>
      </c>
      <c r="H1485" s="55">
        <v>2527</v>
      </c>
      <c r="I1485" s="2" t="b">
        <f t="shared" si="24"/>
        <v>0</v>
      </c>
    </row>
    <row r="1486" spans="2:9" x14ac:dyDescent="0.25">
      <c r="B1486" s="161">
        <v>41554</v>
      </c>
      <c r="C1486" s="12" t="s">
        <v>802</v>
      </c>
      <c r="D1486" s="12" t="s">
        <v>797</v>
      </c>
      <c r="E1486" s="12" t="s">
        <v>809</v>
      </c>
      <c r="F1486" s="12" t="s">
        <v>799</v>
      </c>
      <c r="G1486" s="55">
        <v>5118</v>
      </c>
      <c r="H1486" s="55">
        <v>8823</v>
      </c>
      <c r="I1486" s="2" t="b">
        <f t="shared" si="24"/>
        <v>0</v>
      </c>
    </row>
    <row r="1487" spans="2:9" x14ac:dyDescent="0.25">
      <c r="B1487" s="161">
        <v>41345</v>
      </c>
      <c r="C1487" s="12" t="s">
        <v>805</v>
      </c>
      <c r="D1487" s="12" t="s">
        <v>652</v>
      </c>
      <c r="E1487" s="12" t="s">
        <v>487</v>
      </c>
      <c r="F1487" s="12" t="s">
        <v>796</v>
      </c>
      <c r="G1487" s="55">
        <v>3500</v>
      </c>
      <c r="H1487" s="55">
        <v>6034</v>
      </c>
      <c r="I1487" s="2" t="b">
        <f t="shared" si="24"/>
        <v>0</v>
      </c>
    </row>
    <row r="1488" spans="2:9" x14ac:dyDescent="0.25">
      <c r="B1488" s="161">
        <v>41502</v>
      </c>
      <c r="C1488" s="12" t="s">
        <v>805</v>
      </c>
      <c r="D1488" s="12" t="s">
        <v>457</v>
      </c>
      <c r="E1488" s="12" t="s">
        <v>798</v>
      </c>
      <c r="F1488" s="12" t="s">
        <v>794</v>
      </c>
      <c r="G1488" s="55">
        <v>1984</v>
      </c>
      <c r="H1488" s="55">
        <v>3422</v>
      </c>
      <c r="I1488" s="2" t="b">
        <f t="shared" si="24"/>
        <v>0</v>
      </c>
    </row>
    <row r="1489" spans="2:9" x14ac:dyDescent="0.25">
      <c r="B1489" s="161">
        <v>41042</v>
      </c>
      <c r="C1489" s="12" t="s">
        <v>805</v>
      </c>
      <c r="D1489" s="12" t="s">
        <v>801</v>
      </c>
      <c r="E1489" s="12" t="s">
        <v>806</v>
      </c>
      <c r="F1489" s="12" t="s">
        <v>796</v>
      </c>
      <c r="G1489" s="55">
        <v>5090</v>
      </c>
      <c r="H1489" s="55">
        <v>8627</v>
      </c>
      <c r="I1489" s="2" t="b">
        <f t="shared" si="24"/>
        <v>0</v>
      </c>
    </row>
    <row r="1490" spans="2:9" x14ac:dyDescent="0.25">
      <c r="B1490" s="161">
        <v>41315</v>
      </c>
      <c r="C1490" s="12" t="s">
        <v>792</v>
      </c>
      <c r="D1490" s="12" t="s">
        <v>797</v>
      </c>
      <c r="E1490" s="12" t="s">
        <v>807</v>
      </c>
      <c r="F1490" s="12" t="s">
        <v>791</v>
      </c>
      <c r="G1490" s="55">
        <v>2591</v>
      </c>
      <c r="H1490" s="55">
        <v>2945</v>
      </c>
      <c r="I1490" s="2" t="b">
        <f t="shared" si="24"/>
        <v>0</v>
      </c>
    </row>
    <row r="1491" spans="2:9" x14ac:dyDescent="0.25">
      <c r="B1491" s="161">
        <v>41183</v>
      </c>
      <c r="C1491" s="12" t="s">
        <v>802</v>
      </c>
      <c r="D1491" s="12" t="s">
        <v>801</v>
      </c>
      <c r="E1491" s="12" t="s">
        <v>808</v>
      </c>
      <c r="F1491" s="12" t="s">
        <v>799</v>
      </c>
      <c r="G1491" s="55">
        <v>6615</v>
      </c>
      <c r="H1491" s="55">
        <v>8821</v>
      </c>
      <c r="I1491" s="2" t="b">
        <f t="shared" si="24"/>
        <v>0</v>
      </c>
    </row>
    <row r="1492" spans="2:9" x14ac:dyDescent="0.25">
      <c r="B1492" s="161">
        <v>41127</v>
      </c>
      <c r="C1492" s="12" t="s">
        <v>792</v>
      </c>
      <c r="D1492" s="12" t="s">
        <v>797</v>
      </c>
      <c r="E1492" s="12" t="s">
        <v>806</v>
      </c>
      <c r="F1492" s="12" t="s">
        <v>799</v>
      </c>
      <c r="G1492" s="55">
        <v>771</v>
      </c>
      <c r="H1492" s="55">
        <v>2081</v>
      </c>
      <c r="I1492" s="2" t="b">
        <f t="shared" si="24"/>
        <v>0</v>
      </c>
    </row>
    <row r="1493" spans="2:9" x14ac:dyDescent="0.25">
      <c r="B1493" s="161">
        <v>41116</v>
      </c>
      <c r="C1493" s="12" t="s">
        <v>790</v>
      </c>
      <c r="D1493" s="12" t="s">
        <v>457</v>
      </c>
      <c r="E1493" s="12" t="s">
        <v>807</v>
      </c>
      <c r="F1493" s="12" t="s">
        <v>791</v>
      </c>
      <c r="G1493" s="55">
        <v>751</v>
      </c>
      <c r="H1493" s="55">
        <v>1293</v>
      </c>
      <c r="I1493" s="2" t="b">
        <f t="shared" si="24"/>
        <v>0</v>
      </c>
    </row>
    <row r="1494" spans="2:9" x14ac:dyDescent="0.25">
      <c r="B1494" s="161">
        <v>41565</v>
      </c>
      <c r="C1494" s="12" t="s">
        <v>805</v>
      </c>
      <c r="D1494" s="12" t="s">
        <v>797</v>
      </c>
      <c r="E1494" s="12" t="s">
        <v>807</v>
      </c>
      <c r="F1494" s="12" t="s">
        <v>794</v>
      </c>
      <c r="G1494" s="55">
        <v>3777</v>
      </c>
      <c r="H1494" s="55">
        <v>6511</v>
      </c>
      <c r="I1494" s="2" t="b">
        <f t="shared" si="24"/>
        <v>0</v>
      </c>
    </row>
    <row r="1495" spans="2:9" x14ac:dyDescent="0.25">
      <c r="B1495" s="161">
        <v>41016</v>
      </c>
      <c r="C1495" s="12" t="s">
        <v>792</v>
      </c>
      <c r="D1495" s="12" t="s">
        <v>801</v>
      </c>
      <c r="E1495" s="12" t="s">
        <v>809</v>
      </c>
      <c r="F1495" s="12" t="s">
        <v>794</v>
      </c>
      <c r="G1495" s="55">
        <v>1487</v>
      </c>
      <c r="H1495" s="55">
        <v>1590</v>
      </c>
      <c r="I1495" s="2" t="b">
        <f t="shared" si="24"/>
        <v>0</v>
      </c>
    </row>
    <row r="1496" spans="2:9" x14ac:dyDescent="0.25">
      <c r="B1496" s="161">
        <v>41296</v>
      </c>
      <c r="C1496" s="12" t="s">
        <v>790</v>
      </c>
      <c r="D1496" s="12" t="s">
        <v>652</v>
      </c>
      <c r="E1496" s="12" t="s">
        <v>807</v>
      </c>
      <c r="F1496" s="12" t="s">
        <v>794</v>
      </c>
      <c r="G1496" s="55">
        <v>521</v>
      </c>
      <c r="H1496" s="55">
        <v>1409</v>
      </c>
      <c r="I1496" s="2" t="b">
        <f t="shared" si="24"/>
        <v>0</v>
      </c>
    </row>
    <row r="1497" spans="2:9" x14ac:dyDescent="0.25">
      <c r="B1497" s="161">
        <v>41442</v>
      </c>
      <c r="C1497" s="12" t="s">
        <v>805</v>
      </c>
      <c r="D1497" s="12" t="s">
        <v>797</v>
      </c>
      <c r="E1497" s="12" t="s">
        <v>487</v>
      </c>
      <c r="F1497" s="12" t="s">
        <v>799</v>
      </c>
      <c r="G1497" s="55">
        <v>999</v>
      </c>
      <c r="H1497" s="55">
        <v>1692</v>
      </c>
      <c r="I1497" s="2" t="b">
        <f t="shared" si="24"/>
        <v>0</v>
      </c>
    </row>
    <row r="1498" spans="2:9" x14ac:dyDescent="0.25">
      <c r="B1498" s="161">
        <v>41367</v>
      </c>
      <c r="C1498" s="12" t="s">
        <v>790</v>
      </c>
      <c r="D1498" s="12" t="s">
        <v>801</v>
      </c>
      <c r="E1498" s="12" t="s">
        <v>795</v>
      </c>
      <c r="F1498" s="12" t="s">
        <v>791</v>
      </c>
      <c r="G1498" s="55">
        <v>6398</v>
      </c>
      <c r="H1498" s="55">
        <v>6843</v>
      </c>
      <c r="I1498" s="2" t="b">
        <f t="shared" si="24"/>
        <v>0</v>
      </c>
    </row>
    <row r="1499" spans="2:9" x14ac:dyDescent="0.25">
      <c r="B1499" s="161">
        <v>41392</v>
      </c>
      <c r="C1499" s="12" t="s">
        <v>805</v>
      </c>
      <c r="D1499" s="12" t="s">
        <v>652</v>
      </c>
      <c r="E1499" s="12" t="s">
        <v>804</v>
      </c>
      <c r="F1499" s="12" t="s">
        <v>799</v>
      </c>
      <c r="G1499" s="55">
        <v>3494</v>
      </c>
      <c r="H1499" s="55">
        <v>8123</v>
      </c>
      <c r="I1499" s="2" t="b">
        <f t="shared" si="24"/>
        <v>0</v>
      </c>
    </row>
    <row r="1500" spans="2:9" x14ac:dyDescent="0.25">
      <c r="B1500" s="161">
        <v>40932</v>
      </c>
      <c r="C1500" s="12" t="s">
        <v>805</v>
      </c>
      <c r="D1500" s="12" t="s">
        <v>797</v>
      </c>
      <c r="E1500" s="12" t="s">
        <v>800</v>
      </c>
      <c r="F1500" s="12" t="s">
        <v>796</v>
      </c>
      <c r="G1500" s="55">
        <v>1149</v>
      </c>
      <c r="H1500" s="55">
        <v>2672</v>
      </c>
      <c r="I1500" s="2" t="b">
        <f t="shared" si="24"/>
        <v>0</v>
      </c>
    </row>
    <row r="1501" spans="2:9" x14ac:dyDescent="0.25">
      <c r="B1501" s="161">
        <v>41511</v>
      </c>
      <c r="C1501" s="12" t="s">
        <v>805</v>
      </c>
      <c r="D1501" s="12" t="s">
        <v>797</v>
      </c>
      <c r="E1501" s="12" t="s">
        <v>809</v>
      </c>
      <c r="F1501" s="12" t="s">
        <v>794</v>
      </c>
      <c r="G1501" s="55">
        <v>8240</v>
      </c>
      <c r="H1501" s="55">
        <v>9364</v>
      </c>
      <c r="I1501" s="2" t="b">
        <f t="shared" si="24"/>
        <v>0</v>
      </c>
    </row>
    <row r="1502" spans="2:9" x14ac:dyDescent="0.25">
      <c r="B1502" s="161">
        <v>40941</v>
      </c>
      <c r="C1502" s="12" t="s">
        <v>805</v>
      </c>
      <c r="D1502" s="12" t="s">
        <v>652</v>
      </c>
      <c r="E1502" s="12" t="s">
        <v>607</v>
      </c>
      <c r="F1502" s="12" t="s">
        <v>791</v>
      </c>
      <c r="G1502" s="55">
        <v>3026</v>
      </c>
      <c r="H1502" s="55">
        <v>3237</v>
      </c>
      <c r="I1502" s="2" t="b">
        <f t="shared" si="24"/>
        <v>0</v>
      </c>
    </row>
    <row r="1503" spans="2:9" x14ac:dyDescent="0.25">
      <c r="B1503" s="161">
        <v>41086</v>
      </c>
      <c r="C1503" s="12" t="s">
        <v>802</v>
      </c>
      <c r="D1503" s="12" t="s">
        <v>652</v>
      </c>
      <c r="E1503" s="12" t="s">
        <v>804</v>
      </c>
      <c r="F1503" s="12" t="s">
        <v>799</v>
      </c>
      <c r="G1503" s="55">
        <v>6850</v>
      </c>
      <c r="H1503" s="55">
        <v>7784</v>
      </c>
      <c r="I1503" s="2" t="b">
        <f t="shared" si="24"/>
        <v>0</v>
      </c>
    </row>
    <row r="1504" spans="2:9" x14ac:dyDescent="0.25">
      <c r="B1504" s="161">
        <v>41048</v>
      </c>
      <c r="C1504" s="12" t="s">
        <v>792</v>
      </c>
      <c r="D1504" s="12" t="s">
        <v>457</v>
      </c>
      <c r="E1504" s="12" t="s">
        <v>793</v>
      </c>
      <c r="F1504" s="12" t="s">
        <v>791</v>
      </c>
      <c r="G1504" s="55">
        <v>1458</v>
      </c>
      <c r="H1504" s="55">
        <v>2651</v>
      </c>
      <c r="I1504" s="2" t="b">
        <f t="shared" si="24"/>
        <v>0</v>
      </c>
    </row>
    <row r="1505" spans="2:9" x14ac:dyDescent="0.25">
      <c r="B1505" s="161">
        <v>41237</v>
      </c>
      <c r="C1505" s="12" t="s">
        <v>790</v>
      </c>
      <c r="D1505" s="12" t="s">
        <v>457</v>
      </c>
      <c r="E1505" s="12" t="s">
        <v>808</v>
      </c>
      <c r="F1505" s="12" t="s">
        <v>799</v>
      </c>
      <c r="G1505" s="55">
        <v>3271</v>
      </c>
      <c r="H1505" s="55">
        <v>7605</v>
      </c>
      <c r="I1505" s="2" t="b">
        <f t="shared" si="24"/>
        <v>0</v>
      </c>
    </row>
    <row r="1506" spans="2:9" x14ac:dyDescent="0.25">
      <c r="B1506" s="161">
        <v>41337</v>
      </c>
      <c r="C1506" s="12" t="s">
        <v>792</v>
      </c>
      <c r="D1506" s="12" t="s">
        <v>797</v>
      </c>
      <c r="E1506" s="12" t="s">
        <v>487</v>
      </c>
      <c r="F1506" s="12" t="s">
        <v>794</v>
      </c>
      <c r="G1506" s="55">
        <v>362</v>
      </c>
      <c r="H1506" s="55">
        <v>978</v>
      </c>
      <c r="I1506" s="2" t="b">
        <f t="shared" si="24"/>
        <v>0</v>
      </c>
    </row>
    <row r="1507" spans="2:9" x14ac:dyDescent="0.25">
      <c r="B1507" s="161">
        <v>41520</v>
      </c>
      <c r="C1507" s="12" t="s">
        <v>802</v>
      </c>
      <c r="D1507" s="12" t="s">
        <v>652</v>
      </c>
      <c r="E1507" s="12" t="s">
        <v>804</v>
      </c>
      <c r="F1507" s="12" t="s">
        <v>799</v>
      </c>
      <c r="G1507" s="55">
        <v>987</v>
      </c>
      <c r="H1507" s="55">
        <v>2194</v>
      </c>
      <c r="I1507" s="2" t="b">
        <f t="shared" si="24"/>
        <v>0</v>
      </c>
    </row>
    <row r="1508" spans="2:9" x14ac:dyDescent="0.25">
      <c r="B1508" s="161">
        <v>41577</v>
      </c>
      <c r="C1508" s="12" t="s">
        <v>802</v>
      </c>
      <c r="D1508" s="12" t="s">
        <v>652</v>
      </c>
      <c r="E1508" s="12" t="s">
        <v>798</v>
      </c>
      <c r="F1508" s="12" t="s">
        <v>794</v>
      </c>
      <c r="G1508" s="55">
        <v>4481</v>
      </c>
      <c r="H1508" s="55">
        <v>9959</v>
      </c>
      <c r="I1508" s="2" t="b">
        <f t="shared" si="24"/>
        <v>0</v>
      </c>
    </row>
    <row r="1509" spans="2:9" x14ac:dyDescent="0.25">
      <c r="B1509" s="161">
        <v>41432</v>
      </c>
      <c r="C1509" s="12" t="s">
        <v>792</v>
      </c>
      <c r="D1509" s="12" t="s">
        <v>652</v>
      </c>
      <c r="E1509" s="12" t="s">
        <v>798</v>
      </c>
      <c r="F1509" s="12" t="s">
        <v>791</v>
      </c>
      <c r="G1509" s="55">
        <v>306</v>
      </c>
      <c r="H1509" s="55">
        <v>326</v>
      </c>
      <c r="I1509" s="2" t="b">
        <f t="shared" si="24"/>
        <v>0</v>
      </c>
    </row>
    <row r="1510" spans="2:9" x14ac:dyDescent="0.25">
      <c r="B1510" s="161">
        <v>41202</v>
      </c>
      <c r="C1510" s="12" t="s">
        <v>802</v>
      </c>
      <c r="D1510" s="12" t="s">
        <v>457</v>
      </c>
      <c r="E1510" s="12" t="s">
        <v>795</v>
      </c>
      <c r="F1510" s="12" t="s">
        <v>794</v>
      </c>
      <c r="G1510" s="55">
        <v>3185</v>
      </c>
      <c r="H1510" s="55">
        <v>7406</v>
      </c>
      <c r="I1510" s="2" t="b">
        <f t="shared" si="24"/>
        <v>0</v>
      </c>
    </row>
    <row r="1511" spans="2:9" x14ac:dyDescent="0.25">
      <c r="B1511" s="161">
        <v>41332</v>
      </c>
      <c r="C1511" s="12" t="s">
        <v>805</v>
      </c>
      <c r="D1511" s="12" t="s">
        <v>652</v>
      </c>
      <c r="E1511" s="12" t="s">
        <v>487</v>
      </c>
      <c r="F1511" s="12" t="s">
        <v>799</v>
      </c>
      <c r="G1511" s="55">
        <v>583</v>
      </c>
      <c r="H1511" s="55">
        <v>1356</v>
      </c>
      <c r="I1511" s="2" t="b">
        <f t="shared" si="24"/>
        <v>0</v>
      </c>
    </row>
    <row r="1512" spans="2:9" x14ac:dyDescent="0.25">
      <c r="B1512" s="161">
        <v>41093</v>
      </c>
      <c r="C1512" s="12" t="s">
        <v>792</v>
      </c>
      <c r="D1512" s="12" t="s">
        <v>652</v>
      </c>
      <c r="E1512" s="12" t="s">
        <v>803</v>
      </c>
      <c r="F1512" s="12" t="s">
        <v>796</v>
      </c>
      <c r="G1512" s="55">
        <v>1598</v>
      </c>
      <c r="H1512" s="55">
        <v>4319</v>
      </c>
      <c r="I1512" s="2" t="b">
        <f t="shared" si="24"/>
        <v>0</v>
      </c>
    </row>
    <row r="1513" spans="2:9" x14ac:dyDescent="0.25">
      <c r="B1513" s="161">
        <v>41153</v>
      </c>
      <c r="C1513" s="12" t="s">
        <v>792</v>
      </c>
      <c r="D1513" s="12" t="s">
        <v>457</v>
      </c>
      <c r="E1513" s="12" t="s">
        <v>487</v>
      </c>
      <c r="F1513" s="12" t="s">
        <v>796</v>
      </c>
      <c r="G1513" s="55">
        <v>747</v>
      </c>
      <c r="H1513" s="55">
        <v>1268</v>
      </c>
      <c r="I1513" s="2" t="b">
        <f t="shared" si="24"/>
        <v>0</v>
      </c>
    </row>
    <row r="1514" spans="2:9" x14ac:dyDescent="0.25">
      <c r="B1514" s="161">
        <v>41211</v>
      </c>
      <c r="C1514" s="12" t="s">
        <v>790</v>
      </c>
      <c r="D1514" s="12" t="s">
        <v>797</v>
      </c>
      <c r="E1514" s="12" t="s">
        <v>806</v>
      </c>
      <c r="F1514" s="12" t="s">
        <v>796</v>
      </c>
      <c r="G1514" s="55">
        <v>1714</v>
      </c>
      <c r="H1514" s="55">
        <v>3984</v>
      </c>
      <c r="I1514" s="2" t="b">
        <f t="shared" si="24"/>
        <v>0</v>
      </c>
    </row>
    <row r="1515" spans="2:9" x14ac:dyDescent="0.25">
      <c r="B1515" s="161">
        <v>40913</v>
      </c>
      <c r="C1515" s="12" t="s">
        <v>792</v>
      </c>
      <c r="D1515" s="12" t="s">
        <v>801</v>
      </c>
      <c r="E1515" s="12" t="s">
        <v>800</v>
      </c>
      <c r="F1515" s="12" t="s">
        <v>794</v>
      </c>
      <c r="G1515" s="55">
        <v>136</v>
      </c>
      <c r="H1515" s="55">
        <v>302</v>
      </c>
      <c r="I1515" s="2" t="b">
        <f t="shared" si="24"/>
        <v>0</v>
      </c>
    </row>
    <row r="1516" spans="2:9" x14ac:dyDescent="0.25">
      <c r="B1516" s="161">
        <v>41524</v>
      </c>
      <c r="C1516" s="12" t="s">
        <v>805</v>
      </c>
      <c r="D1516" s="12" t="s">
        <v>652</v>
      </c>
      <c r="E1516" s="12" t="s">
        <v>809</v>
      </c>
      <c r="F1516" s="12" t="s">
        <v>794</v>
      </c>
      <c r="G1516" s="55">
        <v>1466</v>
      </c>
      <c r="H1516" s="55">
        <v>3259</v>
      </c>
      <c r="I1516" s="2" t="b">
        <f t="shared" si="24"/>
        <v>0</v>
      </c>
    </row>
    <row r="1517" spans="2:9" x14ac:dyDescent="0.25">
      <c r="B1517" s="161">
        <v>40915</v>
      </c>
      <c r="C1517" s="12" t="s">
        <v>790</v>
      </c>
      <c r="D1517" s="12" t="s">
        <v>797</v>
      </c>
      <c r="E1517" s="12" t="s">
        <v>800</v>
      </c>
      <c r="F1517" s="12" t="s">
        <v>799</v>
      </c>
      <c r="G1517" s="55">
        <v>2852</v>
      </c>
      <c r="H1517" s="55">
        <v>6336</v>
      </c>
      <c r="I1517" s="2" t="b">
        <f t="shared" si="24"/>
        <v>0</v>
      </c>
    </row>
    <row r="1518" spans="2:9" x14ac:dyDescent="0.25">
      <c r="B1518" s="161">
        <v>41030</v>
      </c>
      <c r="C1518" s="12" t="s">
        <v>792</v>
      </c>
      <c r="D1518" s="12" t="s">
        <v>652</v>
      </c>
      <c r="E1518" s="12" t="s">
        <v>487</v>
      </c>
      <c r="F1518" s="12" t="s">
        <v>794</v>
      </c>
      <c r="G1518" s="55">
        <v>5991</v>
      </c>
      <c r="H1518" s="55">
        <v>7988</v>
      </c>
      <c r="I1518" s="2" t="b">
        <f t="shared" si="24"/>
        <v>0</v>
      </c>
    </row>
    <row r="1519" spans="2:9" x14ac:dyDescent="0.25">
      <c r="B1519" s="161">
        <v>41494</v>
      </c>
      <c r="C1519" s="12" t="s">
        <v>790</v>
      </c>
      <c r="D1519" s="12" t="s">
        <v>652</v>
      </c>
      <c r="E1519" s="12" t="s">
        <v>803</v>
      </c>
      <c r="F1519" s="12" t="s">
        <v>791</v>
      </c>
      <c r="G1519" s="55">
        <v>5624</v>
      </c>
      <c r="H1519" s="55">
        <v>9533</v>
      </c>
      <c r="I1519" s="2" t="b">
        <f t="shared" si="24"/>
        <v>0</v>
      </c>
    </row>
    <row r="1520" spans="2:9" x14ac:dyDescent="0.25">
      <c r="B1520" s="161">
        <v>41637</v>
      </c>
      <c r="C1520" s="12" t="s">
        <v>802</v>
      </c>
      <c r="D1520" s="12" t="s">
        <v>797</v>
      </c>
      <c r="E1520" s="12" t="s">
        <v>809</v>
      </c>
      <c r="F1520" s="12" t="s">
        <v>799</v>
      </c>
      <c r="G1520" s="55">
        <v>3966</v>
      </c>
      <c r="H1520" s="55">
        <v>6836</v>
      </c>
      <c r="I1520" s="2" t="b">
        <f t="shared" si="24"/>
        <v>0</v>
      </c>
    </row>
    <row r="1521" spans="2:9" x14ac:dyDescent="0.25">
      <c r="B1521" s="161">
        <v>41340</v>
      </c>
      <c r="C1521" s="12" t="s">
        <v>802</v>
      </c>
      <c r="D1521" s="12" t="s">
        <v>652</v>
      </c>
      <c r="E1521" s="12" t="s">
        <v>798</v>
      </c>
      <c r="F1521" s="12" t="s">
        <v>794</v>
      </c>
      <c r="G1521" s="55">
        <v>2921</v>
      </c>
      <c r="H1521" s="55">
        <v>3895</v>
      </c>
      <c r="I1521" s="2" t="b">
        <f t="shared" si="24"/>
        <v>0</v>
      </c>
    </row>
    <row r="1522" spans="2:9" x14ac:dyDescent="0.25">
      <c r="B1522" s="161">
        <v>41201</v>
      </c>
      <c r="C1522" s="12" t="s">
        <v>790</v>
      </c>
      <c r="D1522" s="12" t="s">
        <v>652</v>
      </c>
      <c r="E1522" s="12" t="s">
        <v>806</v>
      </c>
      <c r="F1522" s="12" t="s">
        <v>799</v>
      </c>
      <c r="G1522" s="55">
        <v>1099</v>
      </c>
      <c r="H1522" s="55">
        <v>2553</v>
      </c>
      <c r="I1522" s="2" t="b">
        <f t="shared" si="24"/>
        <v>0</v>
      </c>
    </row>
    <row r="1523" spans="2:9" x14ac:dyDescent="0.25">
      <c r="B1523" s="161">
        <v>41279</v>
      </c>
      <c r="C1523" s="12" t="s">
        <v>805</v>
      </c>
      <c r="D1523" s="12" t="s">
        <v>801</v>
      </c>
      <c r="E1523" s="12" t="s">
        <v>807</v>
      </c>
      <c r="F1523" s="12" t="s">
        <v>794</v>
      </c>
      <c r="G1523" s="55">
        <v>220</v>
      </c>
      <c r="H1523" s="55">
        <v>234</v>
      </c>
      <c r="I1523" s="2" t="b">
        <f t="shared" si="24"/>
        <v>0</v>
      </c>
    </row>
    <row r="1524" spans="2:9" x14ac:dyDescent="0.25">
      <c r="B1524" s="161">
        <v>41122</v>
      </c>
      <c r="C1524" s="12" t="s">
        <v>790</v>
      </c>
      <c r="D1524" s="12" t="s">
        <v>457</v>
      </c>
      <c r="E1524" s="12" t="s">
        <v>793</v>
      </c>
      <c r="F1524" s="12" t="s">
        <v>791</v>
      </c>
      <c r="G1524" s="55">
        <v>536</v>
      </c>
      <c r="H1524" s="55">
        <v>907</v>
      </c>
      <c r="I1524" s="2" t="b">
        <f t="shared" si="24"/>
        <v>0</v>
      </c>
    </row>
    <row r="1525" spans="2:9" x14ac:dyDescent="0.25">
      <c r="B1525" s="161">
        <v>41215</v>
      </c>
      <c r="C1525" s="12" t="s">
        <v>805</v>
      </c>
      <c r="D1525" s="12" t="s">
        <v>797</v>
      </c>
      <c r="E1525" s="12" t="s">
        <v>798</v>
      </c>
      <c r="F1525" s="12" t="s">
        <v>796</v>
      </c>
      <c r="G1525" s="55">
        <v>8312</v>
      </c>
      <c r="H1525" s="55">
        <v>9445</v>
      </c>
      <c r="I1525" s="2" t="b">
        <f t="shared" si="24"/>
        <v>0</v>
      </c>
    </row>
    <row r="1526" spans="2:9" x14ac:dyDescent="0.25">
      <c r="B1526" s="161">
        <v>41487</v>
      </c>
      <c r="C1526" s="12" t="s">
        <v>792</v>
      </c>
      <c r="D1526" s="12" t="s">
        <v>797</v>
      </c>
      <c r="E1526" s="12" t="s">
        <v>795</v>
      </c>
      <c r="F1526" s="12" t="s">
        <v>794</v>
      </c>
      <c r="G1526" s="55">
        <v>296</v>
      </c>
      <c r="H1526" s="55">
        <v>538</v>
      </c>
      <c r="I1526" s="2" t="b">
        <f t="shared" si="24"/>
        <v>0</v>
      </c>
    </row>
    <row r="1527" spans="2:9" x14ac:dyDescent="0.25">
      <c r="B1527" s="161">
        <v>40978</v>
      </c>
      <c r="C1527" s="12" t="s">
        <v>802</v>
      </c>
      <c r="D1527" s="12" t="s">
        <v>801</v>
      </c>
      <c r="E1527" s="12" t="s">
        <v>803</v>
      </c>
      <c r="F1527" s="12" t="s">
        <v>791</v>
      </c>
      <c r="G1527" s="55">
        <v>4378</v>
      </c>
      <c r="H1527" s="55">
        <v>4684</v>
      </c>
      <c r="I1527" s="2" t="b">
        <f t="shared" si="24"/>
        <v>0</v>
      </c>
    </row>
    <row r="1528" spans="2:9" x14ac:dyDescent="0.25">
      <c r="B1528" s="161">
        <v>41359</v>
      </c>
      <c r="C1528" s="12" t="s">
        <v>792</v>
      </c>
      <c r="D1528" s="12" t="s">
        <v>457</v>
      </c>
      <c r="E1528" s="12" t="s">
        <v>806</v>
      </c>
      <c r="F1528" s="12" t="s">
        <v>794</v>
      </c>
      <c r="G1528" s="55">
        <v>6045</v>
      </c>
      <c r="H1528" s="55">
        <v>8059</v>
      </c>
      <c r="I1528" s="2" t="b">
        <f t="shared" si="24"/>
        <v>1</v>
      </c>
    </row>
    <row r="1529" spans="2:9" x14ac:dyDescent="0.25">
      <c r="B1529" s="161">
        <v>40938</v>
      </c>
      <c r="C1529" s="12" t="s">
        <v>792</v>
      </c>
      <c r="D1529" s="12" t="s">
        <v>801</v>
      </c>
      <c r="E1529" s="12" t="s">
        <v>807</v>
      </c>
      <c r="F1529" s="12" t="s">
        <v>794</v>
      </c>
      <c r="G1529" s="55">
        <v>1615</v>
      </c>
      <c r="H1529" s="55">
        <v>2376</v>
      </c>
      <c r="I1529" s="2" t="b">
        <f t="shared" si="24"/>
        <v>0</v>
      </c>
    </row>
    <row r="1530" spans="2:9" x14ac:dyDescent="0.25">
      <c r="B1530" s="161">
        <v>41068</v>
      </c>
      <c r="C1530" s="12" t="s">
        <v>790</v>
      </c>
      <c r="D1530" s="12" t="s">
        <v>457</v>
      </c>
      <c r="E1530" s="12" t="s">
        <v>487</v>
      </c>
      <c r="F1530" s="12" t="s">
        <v>794</v>
      </c>
      <c r="G1530" s="55">
        <v>2427</v>
      </c>
      <c r="H1530" s="55">
        <v>5393</v>
      </c>
      <c r="I1530" s="2" t="b">
        <f t="shared" si="24"/>
        <v>0</v>
      </c>
    </row>
    <row r="1531" spans="2:9" x14ac:dyDescent="0.25">
      <c r="B1531" s="161">
        <v>41285</v>
      </c>
      <c r="C1531" s="12" t="s">
        <v>792</v>
      </c>
      <c r="D1531" s="12" t="s">
        <v>797</v>
      </c>
      <c r="E1531" s="12" t="s">
        <v>487</v>
      </c>
      <c r="F1531" s="12" t="s">
        <v>796</v>
      </c>
      <c r="G1531" s="55">
        <v>351</v>
      </c>
      <c r="H1531" s="55">
        <v>639</v>
      </c>
      <c r="I1531" s="2" t="b">
        <f t="shared" si="24"/>
        <v>0</v>
      </c>
    </row>
    <row r="1532" spans="2:9" x14ac:dyDescent="0.25">
      <c r="B1532" s="161">
        <v>41121</v>
      </c>
      <c r="C1532" s="12" t="s">
        <v>790</v>
      </c>
      <c r="D1532" s="12" t="s">
        <v>797</v>
      </c>
      <c r="E1532" s="12" t="s">
        <v>795</v>
      </c>
      <c r="F1532" s="12" t="s">
        <v>791</v>
      </c>
      <c r="G1532" s="55">
        <v>5938</v>
      </c>
      <c r="H1532" s="55">
        <v>8732</v>
      </c>
      <c r="I1532" s="2" t="b">
        <f t="shared" si="24"/>
        <v>0</v>
      </c>
    </row>
    <row r="1533" spans="2:9" x14ac:dyDescent="0.25">
      <c r="B1533" s="161">
        <v>41058</v>
      </c>
      <c r="C1533" s="12" t="s">
        <v>790</v>
      </c>
      <c r="D1533" s="12" t="s">
        <v>457</v>
      </c>
      <c r="E1533" s="12" t="s">
        <v>809</v>
      </c>
      <c r="F1533" s="12" t="s">
        <v>791</v>
      </c>
      <c r="G1533" s="55">
        <v>3939</v>
      </c>
      <c r="H1533" s="55">
        <v>4212</v>
      </c>
      <c r="I1533" s="2" t="b">
        <f t="shared" si="24"/>
        <v>0</v>
      </c>
    </row>
    <row r="1534" spans="2:9" x14ac:dyDescent="0.25">
      <c r="B1534" s="161">
        <v>41079</v>
      </c>
      <c r="C1534" s="12" t="s">
        <v>792</v>
      </c>
      <c r="D1534" s="12" t="s">
        <v>457</v>
      </c>
      <c r="E1534" s="12" t="s">
        <v>809</v>
      </c>
      <c r="F1534" s="12" t="s">
        <v>791</v>
      </c>
      <c r="G1534" s="55">
        <v>4613</v>
      </c>
      <c r="H1534" s="55">
        <v>8386</v>
      </c>
      <c r="I1534" s="2" t="b">
        <f t="shared" si="24"/>
        <v>0</v>
      </c>
    </row>
    <row r="1535" spans="2:9" x14ac:dyDescent="0.25">
      <c r="B1535" s="161">
        <v>41268</v>
      </c>
      <c r="C1535" s="12" t="s">
        <v>802</v>
      </c>
      <c r="D1535" s="12" t="s">
        <v>457</v>
      </c>
      <c r="E1535" s="12" t="s">
        <v>487</v>
      </c>
      <c r="F1535" s="12" t="s">
        <v>799</v>
      </c>
      <c r="G1535" s="55">
        <v>2637</v>
      </c>
      <c r="H1535" s="55">
        <v>5860</v>
      </c>
      <c r="I1535" s="2" t="b">
        <f t="shared" si="24"/>
        <v>0</v>
      </c>
    </row>
    <row r="1536" spans="2:9" x14ac:dyDescent="0.25">
      <c r="B1536" s="161">
        <v>41434</v>
      </c>
      <c r="C1536" s="12" t="s">
        <v>792</v>
      </c>
      <c r="D1536" s="12" t="s">
        <v>797</v>
      </c>
      <c r="E1536" s="12" t="s">
        <v>808</v>
      </c>
      <c r="F1536" s="12" t="s">
        <v>796</v>
      </c>
      <c r="G1536" s="55">
        <v>4427</v>
      </c>
      <c r="H1536" s="55">
        <v>7504</v>
      </c>
      <c r="I1536" s="2" t="b">
        <f t="shared" si="24"/>
        <v>0</v>
      </c>
    </row>
    <row r="1537" spans="2:9" x14ac:dyDescent="0.25">
      <c r="B1537" s="161">
        <v>41436</v>
      </c>
      <c r="C1537" s="12" t="s">
        <v>792</v>
      </c>
      <c r="D1537" s="12" t="s">
        <v>457</v>
      </c>
      <c r="E1537" s="12" t="s">
        <v>795</v>
      </c>
      <c r="F1537" s="12" t="s">
        <v>794</v>
      </c>
      <c r="G1537" s="55">
        <v>3079</v>
      </c>
      <c r="H1537" s="55">
        <v>6842</v>
      </c>
      <c r="I1537" s="2" t="b">
        <f t="shared" si="24"/>
        <v>1</v>
      </c>
    </row>
    <row r="1538" spans="2:9" x14ac:dyDescent="0.25">
      <c r="B1538" s="161">
        <v>41412</v>
      </c>
      <c r="C1538" s="12" t="s">
        <v>802</v>
      </c>
      <c r="D1538" s="12" t="s">
        <v>801</v>
      </c>
      <c r="E1538" s="12" t="s">
        <v>809</v>
      </c>
      <c r="F1538" s="12" t="s">
        <v>794</v>
      </c>
      <c r="G1538" s="55">
        <v>3491</v>
      </c>
      <c r="H1538" s="55">
        <v>4653</v>
      </c>
      <c r="I1538" s="2" t="b">
        <f t="shared" si="24"/>
        <v>0</v>
      </c>
    </row>
    <row r="1539" spans="2:9" x14ac:dyDescent="0.25">
      <c r="B1539" s="161">
        <v>41394</v>
      </c>
      <c r="C1539" s="12" t="s">
        <v>802</v>
      </c>
      <c r="D1539" s="12" t="s">
        <v>797</v>
      </c>
      <c r="E1539" s="12" t="s">
        <v>804</v>
      </c>
      <c r="F1539" s="12" t="s">
        <v>796</v>
      </c>
      <c r="G1539" s="55">
        <v>731</v>
      </c>
      <c r="H1539" s="55">
        <v>974</v>
      </c>
      <c r="I1539" s="2" t="b">
        <f t="shared" si="24"/>
        <v>0</v>
      </c>
    </row>
    <row r="1540" spans="2:9" x14ac:dyDescent="0.25">
      <c r="B1540" s="161">
        <v>41364</v>
      </c>
      <c r="C1540" s="12" t="s">
        <v>805</v>
      </c>
      <c r="D1540" s="12" t="s">
        <v>457</v>
      </c>
      <c r="E1540" s="12" t="s">
        <v>806</v>
      </c>
      <c r="F1540" s="12" t="s">
        <v>796</v>
      </c>
      <c r="G1540" s="55">
        <v>4454</v>
      </c>
      <c r="H1540" s="55">
        <v>5940</v>
      </c>
      <c r="I1540" s="2" t="b">
        <f t="shared" si="24"/>
        <v>0</v>
      </c>
    </row>
    <row r="1541" spans="2:9" x14ac:dyDescent="0.25">
      <c r="B1541" s="161">
        <v>41240</v>
      </c>
      <c r="C1541" s="12" t="s">
        <v>805</v>
      </c>
      <c r="D1541" s="12" t="s">
        <v>457</v>
      </c>
      <c r="E1541" s="12" t="s">
        <v>807</v>
      </c>
      <c r="F1541" s="12" t="s">
        <v>799</v>
      </c>
      <c r="G1541" s="55">
        <v>2596</v>
      </c>
      <c r="H1541" s="55">
        <v>2776</v>
      </c>
      <c r="I1541" s="2" t="b">
        <f t="shared" si="24"/>
        <v>0</v>
      </c>
    </row>
    <row r="1542" spans="2:9" x14ac:dyDescent="0.25">
      <c r="B1542" s="161">
        <v>41442</v>
      </c>
      <c r="C1542" s="12" t="s">
        <v>805</v>
      </c>
      <c r="D1542" s="12" t="s">
        <v>457</v>
      </c>
      <c r="E1542" s="12" t="s">
        <v>807</v>
      </c>
      <c r="F1542" s="12" t="s">
        <v>794</v>
      </c>
      <c r="G1542" s="55">
        <v>6312</v>
      </c>
      <c r="H1542" s="55">
        <v>9282</v>
      </c>
      <c r="I1542" s="2" t="b">
        <f t="shared" si="24"/>
        <v>0</v>
      </c>
    </row>
    <row r="1543" spans="2:9" x14ac:dyDescent="0.25">
      <c r="B1543" s="161">
        <v>41612</v>
      </c>
      <c r="C1543" s="12" t="s">
        <v>790</v>
      </c>
      <c r="D1543" s="12" t="s">
        <v>797</v>
      </c>
      <c r="E1543" s="12" t="s">
        <v>795</v>
      </c>
      <c r="F1543" s="12" t="s">
        <v>796</v>
      </c>
      <c r="G1543" s="55">
        <v>2971</v>
      </c>
      <c r="H1543" s="55">
        <v>4369</v>
      </c>
      <c r="I1543" s="2" t="b">
        <f t="shared" ref="I1543:I1606" si="25">AND($K$9=C1543,$L$9=D1543,$M$9=F1543)</f>
        <v>0</v>
      </c>
    </row>
    <row r="1544" spans="2:9" x14ac:dyDescent="0.25">
      <c r="B1544" s="161">
        <v>41312</v>
      </c>
      <c r="C1544" s="12" t="s">
        <v>802</v>
      </c>
      <c r="D1544" s="12" t="s">
        <v>801</v>
      </c>
      <c r="E1544" s="12" t="s">
        <v>803</v>
      </c>
      <c r="F1544" s="12" t="s">
        <v>799</v>
      </c>
      <c r="G1544" s="55">
        <v>4089</v>
      </c>
      <c r="H1544" s="55">
        <v>7049</v>
      </c>
      <c r="I1544" s="2" t="b">
        <f t="shared" si="25"/>
        <v>0</v>
      </c>
    </row>
    <row r="1545" spans="2:9" x14ac:dyDescent="0.25">
      <c r="B1545" s="161">
        <v>41629</v>
      </c>
      <c r="C1545" s="12" t="s">
        <v>792</v>
      </c>
      <c r="D1545" s="12" t="s">
        <v>652</v>
      </c>
      <c r="E1545" s="12" t="s">
        <v>800</v>
      </c>
      <c r="F1545" s="12" t="s">
        <v>791</v>
      </c>
      <c r="G1545" s="55">
        <v>189</v>
      </c>
      <c r="H1545" s="55">
        <v>512</v>
      </c>
      <c r="I1545" s="2" t="b">
        <f t="shared" si="25"/>
        <v>0</v>
      </c>
    </row>
    <row r="1546" spans="2:9" x14ac:dyDescent="0.25">
      <c r="B1546" s="161">
        <v>41504</v>
      </c>
      <c r="C1546" s="12" t="s">
        <v>805</v>
      </c>
      <c r="D1546" s="12" t="s">
        <v>457</v>
      </c>
      <c r="E1546" s="12" t="s">
        <v>607</v>
      </c>
      <c r="F1546" s="12" t="s">
        <v>791</v>
      </c>
      <c r="G1546" s="55">
        <v>3171</v>
      </c>
      <c r="H1546" s="55">
        <v>4227</v>
      </c>
      <c r="I1546" s="2" t="b">
        <f t="shared" si="25"/>
        <v>0</v>
      </c>
    </row>
    <row r="1547" spans="2:9" x14ac:dyDescent="0.25">
      <c r="B1547" s="161">
        <v>41037</v>
      </c>
      <c r="C1547" s="12" t="s">
        <v>790</v>
      </c>
      <c r="D1547" s="12" t="s">
        <v>797</v>
      </c>
      <c r="E1547" s="12" t="s">
        <v>607</v>
      </c>
      <c r="F1547" s="12" t="s">
        <v>794</v>
      </c>
      <c r="G1547" s="55">
        <v>4110</v>
      </c>
      <c r="H1547" s="55">
        <v>9556</v>
      </c>
      <c r="I1547" s="2" t="b">
        <f t="shared" si="25"/>
        <v>0</v>
      </c>
    </row>
    <row r="1548" spans="2:9" x14ac:dyDescent="0.25">
      <c r="B1548" s="161">
        <v>41446</v>
      </c>
      <c r="C1548" s="12" t="s">
        <v>792</v>
      </c>
      <c r="D1548" s="12" t="s">
        <v>457</v>
      </c>
      <c r="E1548" s="12" t="s">
        <v>607</v>
      </c>
      <c r="F1548" s="12" t="s">
        <v>796</v>
      </c>
      <c r="G1548" s="55">
        <v>8556</v>
      </c>
      <c r="H1548" s="55">
        <v>9152</v>
      </c>
      <c r="I1548" s="2" t="b">
        <f t="shared" si="25"/>
        <v>0</v>
      </c>
    </row>
    <row r="1549" spans="2:9" x14ac:dyDescent="0.25">
      <c r="B1549" s="161">
        <v>41033</v>
      </c>
      <c r="C1549" s="12" t="s">
        <v>802</v>
      </c>
      <c r="D1549" s="12" t="s">
        <v>652</v>
      </c>
      <c r="E1549" s="12" t="s">
        <v>487</v>
      </c>
      <c r="F1549" s="12" t="s">
        <v>794</v>
      </c>
      <c r="G1549" s="55">
        <v>1018</v>
      </c>
      <c r="H1549" s="55">
        <v>1853</v>
      </c>
      <c r="I1549" s="2" t="b">
        <f t="shared" si="25"/>
        <v>0</v>
      </c>
    </row>
    <row r="1550" spans="2:9" x14ac:dyDescent="0.25">
      <c r="B1550" s="161">
        <v>41559</v>
      </c>
      <c r="C1550" s="12" t="s">
        <v>802</v>
      </c>
      <c r="D1550" s="12" t="s">
        <v>652</v>
      </c>
      <c r="E1550" s="12" t="s">
        <v>808</v>
      </c>
      <c r="F1550" s="12" t="s">
        <v>799</v>
      </c>
      <c r="G1550" s="55">
        <v>7135</v>
      </c>
      <c r="H1550" s="55">
        <v>9513</v>
      </c>
      <c r="I1550" s="2" t="b">
        <f t="shared" si="25"/>
        <v>0</v>
      </c>
    </row>
    <row r="1551" spans="2:9" x14ac:dyDescent="0.25">
      <c r="B1551" s="161">
        <v>41329</v>
      </c>
      <c r="C1551" s="12" t="s">
        <v>790</v>
      </c>
      <c r="D1551" s="12" t="s">
        <v>801</v>
      </c>
      <c r="E1551" s="12" t="s">
        <v>807</v>
      </c>
      <c r="F1551" s="12" t="s">
        <v>796</v>
      </c>
      <c r="G1551" s="55">
        <v>1637</v>
      </c>
      <c r="H1551" s="55">
        <v>4425</v>
      </c>
      <c r="I1551" s="2" t="b">
        <f t="shared" si="25"/>
        <v>0</v>
      </c>
    </row>
    <row r="1552" spans="2:9" x14ac:dyDescent="0.25">
      <c r="B1552" s="161">
        <v>41338</v>
      </c>
      <c r="C1552" s="12" t="s">
        <v>805</v>
      </c>
      <c r="D1552" s="12" t="s">
        <v>797</v>
      </c>
      <c r="E1552" s="12" t="s">
        <v>487</v>
      </c>
      <c r="F1552" s="12" t="s">
        <v>791</v>
      </c>
      <c r="G1552" s="55">
        <v>4804</v>
      </c>
      <c r="H1552" s="55">
        <v>8281</v>
      </c>
      <c r="I1552" s="2" t="b">
        <f t="shared" si="25"/>
        <v>0</v>
      </c>
    </row>
    <row r="1553" spans="2:9" x14ac:dyDescent="0.25">
      <c r="B1553" s="161">
        <v>40945</v>
      </c>
      <c r="C1553" s="12" t="s">
        <v>802</v>
      </c>
      <c r="D1553" s="12" t="s">
        <v>801</v>
      </c>
      <c r="E1553" s="12" t="s">
        <v>487</v>
      </c>
      <c r="F1553" s="12" t="s">
        <v>799</v>
      </c>
      <c r="G1553" s="55">
        <v>5322</v>
      </c>
      <c r="H1553" s="55">
        <v>7828</v>
      </c>
      <c r="I1553" s="2" t="b">
        <f t="shared" si="25"/>
        <v>0</v>
      </c>
    </row>
    <row r="1554" spans="2:9" x14ac:dyDescent="0.25">
      <c r="B1554" s="161">
        <v>41127</v>
      </c>
      <c r="C1554" s="12" t="s">
        <v>792</v>
      </c>
      <c r="D1554" s="12" t="s">
        <v>652</v>
      </c>
      <c r="E1554" s="12" t="s">
        <v>806</v>
      </c>
      <c r="F1554" s="12" t="s">
        <v>796</v>
      </c>
      <c r="G1554" s="55">
        <v>1600</v>
      </c>
      <c r="H1554" s="55">
        <v>1819</v>
      </c>
      <c r="I1554" s="2" t="b">
        <f t="shared" si="25"/>
        <v>0</v>
      </c>
    </row>
    <row r="1555" spans="2:9" x14ac:dyDescent="0.25">
      <c r="B1555" s="161">
        <v>41338</v>
      </c>
      <c r="C1555" s="12" t="s">
        <v>790</v>
      </c>
      <c r="D1555" s="12" t="s">
        <v>652</v>
      </c>
      <c r="E1555" s="12" t="s">
        <v>806</v>
      </c>
      <c r="F1555" s="12" t="s">
        <v>799</v>
      </c>
      <c r="G1555" s="55">
        <v>1033</v>
      </c>
      <c r="H1555" s="55">
        <v>2790</v>
      </c>
      <c r="I1555" s="2" t="b">
        <f t="shared" si="25"/>
        <v>0</v>
      </c>
    </row>
    <row r="1556" spans="2:9" x14ac:dyDescent="0.25">
      <c r="B1556" s="161">
        <v>41004</v>
      </c>
      <c r="C1556" s="12" t="s">
        <v>802</v>
      </c>
      <c r="D1556" s="12" t="s">
        <v>797</v>
      </c>
      <c r="E1556" s="12" t="s">
        <v>798</v>
      </c>
      <c r="F1556" s="12" t="s">
        <v>796</v>
      </c>
      <c r="G1556" s="55">
        <v>1451</v>
      </c>
      <c r="H1556" s="55">
        <v>3923</v>
      </c>
      <c r="I1556" s="2" t="b">
        <f t="shared" si="25"/>
        <v>0</v>
      </c>
    </row>
    <row r="1557" spans="2:9" x14ac:dyDescent="0.25">
      <c r="B1557" s="161">
        <v>41504</v>
      </c>
      <c r="C1557" s="12" t="s">
        <v>802</v>
      </c>
      <c r="D1557" s="12" t="s">
        <v>801</v>
      </c>
      <c r="E1557" s="12" t="s">
        <v>798</v>
      </c>
      <c r="F1557" s="12" t="s">
        <v>799</v>
      </c>
      <c r="G1557" s="55">
        <v>2576</v>
      </c>
      <c r="H1557" s="55">
        <v>4682</v>
      </c>
      <c r="I1557" s="2" t="b">
        <f t="shared" si="25"/>
        <v>0</v>
      </c>
    </row>
    <row r="1558" spans="2:9" x14ac:dyDescent="0.25">
      <c r="B1558" s="161">
        <v>40927</v>
      </c>
      <c r="C1558" s="12" t="s">
        <v>790</v>
      </c>
      <c r="D1558" s="12" t="s">
        <v>801</v>
      </c>
      <c r="E1558" s="12" t="s">
        <v>806</v>
      </c>
      <c r="F1558" s="12" t="s">
        <v>791</v>
      </c>
      <c r="G1558" s="55">
        <v>5360</v>
      </c>
      <c r="H1558" s="55">
        <v>7882</v>
      </c>
      <c r="I1558" s="2" t="b">
        <f t="shared" si="25"/>
        <v>0</v>
      </c>
    </row>
    <row r="1559" spans="2:9" x14ac:dyDescent="0.25">
      <c r="B1559" s="161">
        <v>41637</v>
      </c>
      <c r="C1559" s="12" t="s">
        <v>802</v>
      </c>
      <c r="D1559" s="12" t="s">
        <v>652</v>
      </c>
      <c r="E1559" s="12" t="s">
        <v>804</v>
      </c>
      <c r="F1559" s="12" t="s">
        <v>791</v>
      </c>
      <c r="G1559" s="55">
        <v>1777</v>
      </c>
      <c r="H1559" s="55">
        <v>4802</v>
      </c>
      <c r="I1559" s="2" t="b">
        <f t="shared" si="25"/>
        <v>0</v>
      </c>
    </row>
    <row r="1560" spans="2:9" x14ac:dyDescent="0.25">
      <c r="B1560" s="161">
        <v>41247</v>
      </c>
      <c r="C1560" s="12" t="s">
        <v>792</v>
      </c>
      <c r="D1560" s="12" t="s">
        <v>797</v>
      </c>
      <c r="E1560" s="12" t="s">
        <v>804</v>
      </c>
      <c r="F1560" s="12" t="s">
        <v>796</v>
      </c>
      <c r="G1560" s="55">
        <v>5054</v>
      </c>
      <c r="H1560" s="55">
        <v>5405</v>
      </c>
      <c r="I1560" s="2" t="b">
        <f t="shared" si="25"/>
        <v>0</v>
      </c>
    </row>
    <row r="1561" spans="2:9" x14ac:dyDescent="0.25">
      <c r="B1561" s="161">
        <v>41318</v>
      </c>
      <c r="C1561" s="12" t="s">
        <v>805</v>
      </c>
      <c r="D1561" s="12" t="s">
        <v>801</v>
      </c>
      <c r="E1561" s="12" t="s">
        <v>804</v>
      </c>
      <c r="F1561" s="12" t="s">
        <v>799</v>
      </c>
      <c r="G1561" s="55">
        <v>5857</v>
      </c>
      <c r="H1561" s="55">
        <v>8614</v>
      </c>
      <c r="I1561" s="2" t="b">
        <f t="shared" si="25"/>
        <v>0</v>
      </c>
    </row>
    <row r="1562" spans="2:9" x14ac:dyDescent="0.25">
      <c r="B1562" s="161">
        <v>41315</v>
      </c>
      <c r="C1562" s="12" t="s">
        <v>790</v>
      </c>
      <c r="D1562" s="12" t="s">
        <v>457</v>
      </c>
      <c r="E1562" s="12" t="s">
        <v>798</v>
      </c>
      <c r="F1562" s="12" t="s">
        <v>794</v>
      </c>
      <c r="G1562" s="55">
        <v>1023</v>
      </c>
      <c r="H1562" s="55">
        <v>2274</v>
      </c>
      <c r="I1562" s="2" t="b">
        <f t="shared" si="25"/>
        <v>0</v>
      </c>
    </row>
    <row r="1563" spans="2:9" x14ac:dyDescent="0.25">
      <c r="B1563" s="161">
        <v>40959</v>
      </c>
      <c r="C1563" s="12" t="s">
        <v>792</v>
      </c>
      <c r="D1563" s="12" t="s">
        <v>457</v>
      </c>
      <c r="E1563" s="12" t="s">
        <v>795</v>
      </c>
      <c r="F1563" s="12" t="s">
        <v>799</v>
      </c>
      <c r="G1563" s="55">
        <v>4808</v>
      </c>
      <c r="H1563" s="55">
        <v>8291</v>
      </c>
      <c r="I1563" s="2" t="b">
        <f t="shared" si="25"/>
        <v>0</v>
      </c>
    </row>
    <row r="1564" spans="2:9" x14ac:dyDescent="0.25">
      <c r="B1564" s="161">
        <v>41255</v>
      </c>
      <c r="C1564" s="12" t="s">
        <v>790</v>
      </c>
      <c r="D1564" s="12" t="s">
        <v>797</v>
      </c>
      <c r="E1564" s="12" t="s">
        <v>607</v>
      </c>
      <c r="F1564" s="12" t="s">
        <v>791</v>
      </c>
      <c r="G1564" s="55">
        <v>2005</v>
      </c>
      <c r="H1564" s="55">
        <v>5420</v>
      </c>
      <c r="I1564" s="2" t="b">
        <f t="shared" si="25"/>
        <v>0</v>
      </c>
    </row>
    <row r="1565" spans="2:9" x14ac:dyDescent="0.25">
      <c r="B1565" s="161">
        <v>41555</v>
      </c>
      <c r="C1565" s="12" t="s">
        <v>805</v>
      </c>
      <c r="D1565" s="12" t="s">
        <v>797</v>
      </c>
      <c r="E1565" s="12" t="s">
        <v>808</v>
      </c>
      <c r="F1565" s="12" t="s">
        <v>791</v>
      </c>
      <c r="G1565" s="55">
        <v>2842</v>
      </c>
      <c r="H1565" s="55">
        <v>4816</v>
      </c>
      <c r="I1565" s="2" t="b">
        <f t="shared" si="25"/>
        <v>0</v>
      </c>
    </row>
    <row r="1566" spans="2:9" x14ac:dyDescent="0.25">
      <c r="B1566" s="161">
        <v>41214</v>
      </c>
      <c r="C1566" s="12" t="s">
        <v>802</v>
      </c>
      <c r="D1566" s="12" t="s">
        <v>457</v>
      </c>
      <c r="E1566" s="12" t="s">
        <v>807</v>
      </c>
      <c r="F1566" s="12" t="s">
        <v>799</v>
      </c>
      <c r="G1566" s="55">
        <v>1285</v>
      </c>
      <c r="H1566" s="55">
        <v>1373</v>
      </c>
      <c r="I1566" s="2" t="b">
        <f t="shared" si="25"/>
        <v>0</v>
      </c>
    </row>
    <row r="1567" spans="2:9" x14ac:dyDescent="0.25">
      <c r="B1567" s="161">
        <v>41281</v>
      </c>
      <c r="C1567" s="12" t="s">
        <v>790</v>
      </c>
      <c r="D1567" s="12" t="s">
        <v>652</v>
      </c>
      <c r="E1567" s="12" t="s">
        <v>809</v>
      </c>
      <c r="F1567" s="12" t="s">
        <v>794</v>
      </c>
      <c r="G1567" s="55">
        <v>2487</v>
      </c>
      <c r="H1567" s="55">
        <v>6721</v>
      </c>
      <c r="I1567" s="2" t="b">
        <f t="shared" si="25"/>
        <v>0</v>
      </c>
    </row>
    <row r="1568" spans="2:9" x14ac:dyDescent="0.25">
      <c r="B1568" s="161">
        <v>41035</v>
      </c>
      <c r="C1568" s="12" t="s">
        <v>790</v>
      </c>
      <c r="D1568" s="12" t="s">
        <v>801</v>
      </c>
      <c r="E1568" s="12" t="s">
        <v>607</v>
      </c>
      <c r="F1568" s="12" t="s">
        <v>794</v>
      </c>
      <c r="G1568" s="55">
        <v>3438</v>
      </c>
      <c r="H1568" s="55">
        <v>3678</v>
      </c>
      <c r="I1568" s="2" t="b">
        <f t="shared" si="25"/>
        <v>0</v>
      </c>
    </row>
    <row r="1569" spans="2:9" x14ac:dyDescent="0.25">
      <c r="B1569" s="161">
        <v>41094</v>
      </c>
      <c r="C1569" s="12" t="s">
        <v>805</v>
      </c>
      <c r="D1569" s="12" t="s">
        <v>797</v>
      </c>
      <c r="E1569" s="12" t="s">
        <v>809</v>
      </c>
      <c r="F1569" s="12" t="s">
        <v>799</v>
      </c>
      <c r="G1569" s="55">
        <v>6604</v>
      </c>
      <c r="H1569" s="55">
        <v>8805</v>
      </c>
      <c r="I1569" s="2" t="b">
        <f t="shared" si="25"/>
        <v>0</v>
      </c>
    </row>
    <row r="1570" spans="2:9" x14ac:dyDescent="0.25">
      <c r="B1570" s="161">
        <v>41107</v>
      </c>
      <c r="C1570" s="12" t="s">
        <v>792</v>
      </c>
      <c r="D1570" s="12" t="s">
        <v>797</v>
      </c>
      <c r="E1570" s="12" t="s">
        <v>809</v>
      </c>
      <c r="F1570" s="12" t="s">
        <v>799</v>
      </c>
      <c r="G1570" s="55">
        <v>247</v>
      </c>
      <c r="H1570" s="55">
        <v>328</v>
      </c>
      <c r="I1570" s="2" t="b">
        <f t="shared" si="25"/>
        <v>0</v>
      </c>
    </row>
    <row r="1571" spans="2:9" x14ac:dyDescent="0.25">
      <c r="B1571" s="161">
        <v>41309</v>
      </c>
      <c r="C1571" s="12" t="s">
        <v>792</v>
      </c>
      <c r="D1571" s="12" t="s">
        <v>457</v>
      </c>
      <c r="E1571" s="12" t="s">
        <v>804</v>
      </c>
      <c r="F1571" s="12" t="s">
        <v>799</v>
      </c>
      <c r="G1571" s="55">
        <v>3381</v>
      </c>
      <c r="H1571" s="55">
        <v>9139</v>
      </c>
      <c r="I1571" s="2" t="b">
        <f t="shared" si="25"/>
        <v>0</v>
      </c>
    </row>
    <row r="1572" spans="2:9" x14ac:dyDescent="0.25">
      <c r="B1572" s="161">
        <v>41456</v>
      </c>
      <c r="C1572" s="12" t="s">
        <v>792</v>
      </c>
      <c r="D1572" s="12" t="s">
        <v>457</v>
      </c>
      <c r="E1572" s="12" t="s">
        <v>806</v>
      </c>
      <c r="F1572" s="12" t="s">
        <v>799</v>
      </c>
      <c r="G1572" s="55">
        <v>7430</v>
      </c>
      <c r="H1572" s="55">
        <v>8443</v>
      </c>
      <c r="I1572" s="2" t="b">
        <f t="shared" si="25"/>
        <v>0</v>
      </c>
    </row>
    <row r="1573" spans="2:9" x14ac:dyDescent="0.25">
      <c r="B1573" s="161">
        <v>41412</v>
      </c>
      <c r="C1573" s="12" t="s">
        <v>802</v>
      </c>
      <c r="D1573" s="12" t="s">
        <v>797</v>
      </c>
      <c r="E1573" s="12" t="s">
        <v>807</v>
      </c>
      <c r="F1573" s="12" t="s">
        <v>796</v>
      </c>
      <c r="G1573" s="55">
        <v>3732</v>
      </c>
      <c r="H1573" s="55">
        <v>8292</v>
      </c>
      <c r="I1573" s="2" t="b">
        <f t="shared" si="25"/>
        <v>0</v>
      </c>
    </row>
    <row r="1574" spans="2:9" x14ac:dyDescent="0.25">
      <c r="B1574" s="161">
        <v>41052</v>
      </c>
      <c r="C1574" s="12" t="s">
        <v>792</v>
      </c>
      <c r="D1574" s="12" t="s">
        <v>797</v>
      </c>
      <c r="E1574" s="12" t="s">
        <v>806</v>
      </c>
      <c r="F1574" s="12" t="s">
        <v>794</v>
      </c>
      <c r="G1574" s="55">
        <v>6768</v>
      </c>
      <c r="H1574" s="55">
        <v>7690</v>
      </c>
      <c r="I1574" s="2" t="b">
        <f t="shared" si="25"/>
        <v>0</v>
      </c>
    </row>
    <row r="1575" spans="2:9" x14ac:dyDescent="0.25">
      <c r="B1575" s="161">
        <v>41260</v>
      </c>
      <c r="C1575" s="12" t="s">
        <v>790</v>
      </c>
      <c r="D1575" s="12" t="s">
        <v>797</v>
      </c>
      <c r="E1575" s="12" t="s">
        <v>807</v>
      </c>
      <c r="F1575" s="12" t="s">
        <v>799</v>
      </c>
      <c r="G1575" s="55">
        <v>1497</v>
      </c>
      <c r="H1575" s="55">
        <v>1701</v>
      </c>
      <c r="I1575" s="2" t="b">
        <f t="shared" si="25"/>
        <v>0</v>
      </c>
    </row>
    <row r="1576" spans="2:9" x14ac:dyDescent="0.25">
      <c r="B1576" s="161">
        <v>41262</v>
      </c>
      <c r="C1576" s="12" t="s">
        <v>790</v>
      </c>
      <c r="D1576" s="12" t="s">
        <v>801</v>
      </c>
      <c r="E1576" s="12" t="s">
        <v>793</v>
      </c>
      <c r="F1576" s="12" t="s">
        <v>796</v>
      </c>
      <c r="G1576" s="55">
        <v>2987</v>
      </c>
      <c r="H1576" s="55">
        <v>4393</v>
      </c>
      <c r="I1576" s="2" t="b">
        <f t="shared" si="25"/>
        <v>0</v>
      </c>
    </row>
    <row r="1577" spans="2:9" x14ac:dyDescent="0.25">
      <c r="B1577" s="161">
        <v>41339</v>
      </c>
      <c r="C1577" s="12" t="s">
        <v>802</v>
      </c>
      <c r="D1577" s="12" t="s">
        <v>797</v>
      </c>
      <c r="E1577" s="12" t="s">
        <v>487</v>
      </c>
      <c r="F1577" s="12" t="s">
        <v>796</v>
      </c>
      <c r="G1577" s="55">
        <v>4512</v>
      </c>
      <c r="H1577" s="55">
        <v>5128</v>
      </c>
      <c r="I1577" s="2" t="b">
        <f t="shared" si="25"/>
        <v>0</v>
      </c>
    </row>
    <row r="1578" spans="2:9" x14ac:dyDescent="0.25">
      <c r="B1578" s="161">
        <v>41014</v>
      </c>
      <c r="C1578" s="12" t="s">
        <v>792</v>
      </c>
      <c r="D1578" s="12" t="s">
        <v>797</v>
      </c>
      <c r="E1578" s="12" t="s">
        <v>804</v>
      </c>
      <c r="F1578" s="12" t="s">
        <v>796</v>
      </c>
      <c r="G1578" s="55">
        <v>1337</v>
      </c>
      <c r="H1578" s="55">
        <v>2969</v>
      </c>
      <c r="I1578" s="2" t="b">
        <f t="shared" si="25"/>
        <v>0</v>
      </c>
    </row>
    <row r="1579" spans="2:9" x14ac:dyDescent="0.25">
      <c r="B1579" s="161">
        <v>41336</v>
      </c>
      <c r="C1579" s="12" t="s">
        <v>790</v>
      </c>
      <c r="D1579" s="12" t="s">
        <v>801</v>
      </c>
      <c r="E1579" s="12" t="s">
        <v>793</v>
      </c>
      <c r="F1579" s="12" t="s">
        <v>799</v>
      </c>
      <c r="G1579" s="55">
        <v>5972</v>
      </c>
      <c r="H1579" s="55">
        <v>7963</v>
      </c>
      <c r="I1579" s="2" t="b">
        <f t="shared" si="25"/>
        <v>0</v>
      </c>
    </row>
    <row r="1580" spans="2:9" x14ac:dyDescent="0.25">
      <c r="B1580" s="161">
        <v>41092</v>
      </c>
      <c r="C1580" s="12" t="s">
        <v>790</v>
      </c>
      <c r="D1580" s="12" t="s">
        <v>801</v>
      </c>
      <c r="E1580" s="12" t="s">
        <v>806</v>
      </c>
      <c r="F1580" s="12" t="s">
        <v>794</v>
      </c>
      <c r="G1580" s="55">
        <v>4467</v>
      </c>
      <c r="H1580" s="55">
        <v>8124</v>
      </c>
      <c r="I1580" s="2" t="b">
        <f t="shared" si="25"/>
        <v>0</v>
      </c>
    </row>
    <row r="1581" spans="2:9" x14ac:dyDescent="0.25">
      <c r="B1581" s="161">
        <v>41316</v>
      </c>
      <c r="C1581" s="12" t="s">
        <v>790</v>
      </c>
      <c r="D1581" s="12" t="s">
        <v>797</v>
      </c>
      <c r="E1581" s="12" t="s">
        <v>803</v>
      </c>
      <c r="F1581" s="12" t="s">
        <v>791</v>
      </c>
      <c r="G1581" s="55">
        <v>2572</v>
      </c>
      <c r="H1581" s="55">
        <v>3780</v>
      </c>
      <c r="I1581" s="2" t="b">
        <f t="shared" si="25"/>
        <v>0</v>
      </c>
    </row>
    <row r="1582" spans="2:9" x14ac:dyDescent="0.25">
      <c r="B1582" s="161">
        <v>41280</v>
      </c>
      <c r="C1582" s="12" t="s">
        <v>805</v>
      </c>
      <c r="D1582" s="12" t="s">
        <v>797</v>
      </c>
      <c r="E1582" s="12" t="s">
        <v>793</v>
      </c>
      <c r="F1582" s="12" t="s">
        <v>796</v>
      </c>
      <c r="G1582" s="55">
        <v>125</v>
      </c>
      <c r="H1582" s="55">
        <v>227</v>
      </c>
      <c r="I1582" s="2" t="b">
        <f t="shared" si="25"/>
        <v>0</v>
      </c>
    </row>
    <row r="1583" spans="2:9" x14ac:dyDescent="0.25">
      <c r="B1583" s="161">
        <v>41358</v>
      </c>
      <c r="C1583" s="12" t="s">
        <v>805</v>
      </c>
      <c r="D1583" s="12" t="s">
        <v>797</v>
      </c>
      <c r="E1583" s="12" t="s">
        <v>806</v>
      </c>
      <c r="F1583" s="12" t="s">
        <v>796</v>
      </c>
      <c r="G1583" s="55">
        <v>1045</v>
      </c>
      <c r="H1583" s="55">
        <v>1900</v>
      </c>
      <c r="I1583" s="2" t="b">
        <f t="shared" si="25"/>
        <v>0</v>
      </c>
    </row>
    <row r="1584" spans="2:9" x14ac:dyDescent="0.25">
      <c r="B1584" s="161">
        <v>40912</v>
      </c>
      <c r="C1584" s="12" t="s">
        <v>792</v>
      </c>
      <c r="D1584" s="12" t="s">
        <v>801</v>
      </c>
      <c r="E1584" s="12" t="s">
        <v>804</v>
      </c>
      <c r="F1584" s="12" t="s">
        <v>794</v>
      </c>
      <c r="G1584" s="55">
        <v>2683</v>
      </c>
      <c r="H1584" s="55">
        <v>4624</v>
      </c>
      <c r="I1584" s="2" t="b">
        <f t="shared" si="25"/>
        <v>0</v>
      </c>
    </row>
    <row r="1585" spans="2:9" x14ac:dyDescent="0.25">
      <c r="B1585" s="161">
        <v>41079</v>
      </c>
      <c r="C1585" s="12" t="s">
        <v>790</v>
      </c>
      <c r="D1585" s="12" t="s">
        <v>457</v>
      </c>
      <c r="E1585" s="12" t="s">
        <v>607</v>
      </c>
      <c r="F1585" s="12" t="s">
        <v>794</v>
      </c>
      <c r="G1585" s="55">
        <v>123</v>
      </c>
      <c r="H1585" s="55">
        <v>272</v>
      </c>
      <c r="I1585" s="2" t="b">
        <f t="shared" si="25"/>
        <v>0</v>
      </c>
    </row>
    <row r="1586" spans="2:9" x14ac:dyDescent="0.25">
      <c r="B1586" s="161">
        <v>40969</v>
      </c>
      <c r="C1586" s="12" t="s">
        <v>790</v>
      </c>
      <c r="D1586" s="12" t="s">
        <v>797</v>
      </c>
      <c r="E1586" s="12" t="s">
        <v>607</v>
      </c>
      <c r="F1586" s="12" t="s">
        <v>794</v>
      </c>
      <c r="G1586" s="55">
        <v>4976</v>
      </c>
      <c r="H1586" s="55">
        <v>7318</v>
      </c>
      <c r="I1586" s="2" t="b">
        <f t="shared" si="25"/>
        <v>0</v>
      </c>
    </row>
    <row r="1587" spans="2:9" x14ac:dyDescent="0.25">
      <c r="B1587" s="161">
        <v>40916</v>
      </c>
      <c r="C1587" s="12" t="s">
        <v>802</v>
      </c>
      <c r="D1587" s="12" t="s">
        <v>652</v>
      </c>
      <c r="E1587" s="12" t="s">
        <v>798</v>
      </c>
      <c r="F1587" s="12" t="s">
        <v>791</v>
      </c>
      <c r="G1587" s="55">
        <v>1202</v>
      </c>
      <c r="H1587" s="55">
        <v>2796</v>
      </c>
      <c r="I1587" s="2" t="b">
        <f t="shared" si="25"/>
        <v>0</v>
      </c>
    </row>
    <row r="1588" spans="2:9" x14ac:dyDescent="0.25">
      <c r="B1588" s="161">
        <v>41194</v>
      </c>
      <c r="C1588" s="12" t="s">
        <v>792</v>
      </c>
      <c r="D1588" s="12" t="s">
        <v>801</v>
      </c>
      <c r="E1588" s="12" t="s">
        <v>808</v>
      </c>
      <c r="F1588" s="12" t="s">
        <v>796</v>
      </c>
      <c r="G1588" s="55">
        <v>2274</v>
      </c>
      <c r="H1588" s="55">
        <v>3921</v>
      </c>
      <c r="I1588" s="2" t="b">
        <f t="shared" si="25"/>
        <v>0</v>
      </c>
    </row>
    <row r="1589" spans="2:9" x14ac:dyDescent="0.25">
      <c r="B1589" s="161">
        <v>41439</v>
      </c>
      <c r="C1589" s="12" t="s">
        <v>805</v>
      </c>
      <c r="D1589" s="12" t="s">
        <v>797</v>
      </c>
      <c r="E1589" s="12" t="s">
        <v>793</v>
      </c>
      <c r="F1589" s="12" t="s">
        <v>796</v>
      </c>
      <c r="G1589" s="55">
        <v>2315</v>
      </c>
      <c r="H1589" s="55">
        <v>3406</v>
      </c>
      <c r="I1589" s="2" t="b">
        <f t="shared" si="25"/>
        <v>0</v>
      </c>
    </row>
    <row r="1590" spans="2:9" x14ac:dyDescent="0.25">
      <c r="B1590" s="161">
        <v>41280</v>
      </c>
      <c r="C1590" s="12" t="s">
        <v>805</v>
      </c>
      <c r="D1590" s="12" t="s">
        <v>801</v>
      </c>
      <c r="E1590" s="12" t="s">
        <v>793</v>
      </c>
      <c r="F1590" s="12" t="s">
        <v>796</v>
      </c>
      <c r="G1590" s="55">
        <v>3371</v>
      </c>
      <c r="H1590" s="55">
        <v>6129</v>
      </c>
      <c r="I1590" s="2" t="b">
        <f t="shared" si="25"/>
        <v>0</v>
      </c>
    </row>
    <row r="1591" spans="2:9" x14ac:dyDescent="0.25">
      <c r="B1591" s="161">
        <v>40967</v>
      </c>
      <c r="C1591" s="12" t="s">
        <v>802</v>
      </c>
      <c r="D1591" s="12" t="s">
        <v>652</v>
      </c>
      <c r="E1591" s="12" t="s">
        <v>809</v>
      </c>
      <c r="F1591" s="12" t="s">
        <v>799</v>
      </c>
      <c r="G1591" s="55">
        <v>126</v>
      </c>
      <c r="H1591" s="55">
        <v>340</v>
      </c>
      <c r="I1591" s="2" t="b">
        <f t="shared" si="25"/>
        <v>0</v>
      </c>
    </row>
    <row r="1592" spans="2:9" x14ac:dyDescent="0.25">
      <c r="B1592" s="161">
        <v>41451</v>
      </c>
      <c r="C1592" s="12" t="s">
        <v>792</v>
      </c>
      <c r="D1592" s="12" t="s">
        <v>801</v>
      </c>
      <c r="E1592" s="12" t="s">
        <v>808</v>
      </c>
      <c r="F1592" s="12" t="s">
        <v>796</v>
      </c>
      <c r="G1592" s="55">
        <v>3712</v>
      </c>
      <c r="H1592" s="55">
        <v>6292</v>
      </c>
      <c r="I1592" s="2" t="b">
        <f t="shared" si="25"/>
        <v>0</v>
      </c>
    </row>
    <row r="1593" spans="2:9" x14ac:dyDescent="0.25">
      <c r="B1593" s="161">
        <v>41495</v>
      </c>
      <c r="C1593" s="12" t="s">
        <v>805</v>
      </c>
      <c r="D1593" s="12" t="s">
        <v>652</v>
      </c>
      <c r="E1593" s="12" t="s">
        <v>798</v>
      </c>
      <c r="F1593" s="12" t="s">
        <v>796</v>
      </c>
      <c r="G1593" s="55">
        <v>1327</v>
      </c>
      <c r="H1593" s="55">
        <v>3587</v>
      </c>
      <c r="I1593" s="2" t="b">
        <f t="shared" si="25"/>
        <v>0</v>
      </c>
    </row>
    <row r="1594" spans="2:9" x14ac:dyDescent="0.25">
      <c r="B1594" s="161">
        <v>41442</v>
      </c>
      <c r="C1594" s="12" t="s">
        <v>790</v>
      </c>
      <c r="D1594" s="12" t="s">
        <v>797</v>
      </c>
      <c r="E1594" s="12" t="s">
        <v>607</v>
      </c>
      <c r="F1594" s="12" t="s">
        <v>791</v>
      </c>
      <c r="G1594" s="55">
        <v>2182</v>
      </c>
      <c r="H1594" s="55">
        <v>4847</v>
      </c>
      <c r="I1594" s="2" t="b">
        <f t="shared" si="25"/>
        <v>0</v>
      </c>
    </row>
    <row r="1595" spans="2:9" x14ac:dyDescent="0.25">
      <c r="B1595" s="161">
        <v>41397</v>
      </c>
      <c r="C1595" s="12" t="s">
        <v>805</v>
      </c>
      <c r="D1595" s="12" t="s">
        <v>801</v>
      </c>
      <c r="E1595" s="12" t="s">
        <v>607</v>
      </c>
      <c r="F1595" s="12" t="s">
        <v>791</v>
      </c>
      <c r="G1595" s="55">
        <v>4848</v>
      </c>
      <c r="H1595" s="55">
        <v>5184</v>
      </c>
      <c r="I1595" s="2" t="b">
        <f t="shared" si="25"/>
        <v>0</v>
      </c>
    </row>
    <row r="1596" spans="2:9" x14ac:dyDescent="0.25">
      <c r="B1596" s="161">
        <v>40998</v>
      </c>
      <c r="C1596" s="12" t="s">
        <v>790</v>
      </c>
      <c r="D1596" s="12" t="s">
        <v>797</v>
      </c>
      <c r="E1596" s="12" t="s">
        <v>607</v>
      </c>
      <c r="F1596" s="12" t="s">
        <v>799</v>
      </c>
      <c r="G1596" s="55">
        <v>3134</v>
      </c>
      <c r="H1596" s="55">
        <v>6963</v>
      </c>
      <c r="I1596" s="2" t="b">
        <f t="shared" si="25"/>
        <v>0</v>
      </c>
    </row>
    <row r="1597" spans="2:9" x14ac:dyDescent="0.25">
      <c r="B1597" s="161">
        <v>40913</v>
      </c>
      <c r="C1597" s="12" t="s">
        <v>790</v>
      </c>
      <c r="D1597" s="12" t="s">
        <v>801</v>
      </c>
      <c r="E1597" s="12" t="s">
        <v>803</v>
      </c>
      <c r="F1597" s="12" t="s">
        <v>796</v>
      </c>
      <c r="G1597" s="55">
        <v>9285</v>
      </c>
      <c r="H1597" s="55">
        <v>9931</v>
      </c>
      <c r="I1597" s="2" t="b">
        <f t="shared" si="25"/>
        <v>0</v>
      </c>
    </row>
    <row r="1598" spans="2:9" x14ac:dyDescent="0.25">
      <c r="B1598" s="161">
        <v>41591</v>
      </c>
      <c r="C1598" s="12" t="s">
        <v>802</v>
      </c>
      <c r="D1598" s="12" t="s">
        <v>801</v>
      </c>
      <c r="E1598" s="12" t="s">
        <v>798</v>
      </c>
      <c r="F1598" s="12" t="s">
        <v>796</v>
      </c>
      <c r="G1598" s="55">
        <v>3755</v>
      </c>
      <c r="H1598" s="55">
        <v>4268</v>
      </c>
      <c r="I1598" s="2" t="b">
        <f t="shared" si="25"/>
        <v>0</v>
      </c>
    </row>
    <row r="1599" spans="2:9" x14ac:dyDescent="0.25">
      <c r="B1599" s="161">
        <v>41549</v>
      </c>
      <c r="C1599" s="12" t="s">
        <v>802</v>
      </c>
      <c r="D1599" s="12" t="s">
        <v>797</v>
      </c>
      <c r="E1599" s="12" t="s">
        <v>806</v>
      </c>
      <c r="F1599" s="12" t="s">
        <v>794</v>
      </c>
      <c r="G1599" s="55">
        <v>2580</v>
      </c>
      <c r="H1599" s="55">
        <v>2931</v>
      </c>
      <c r="I1599" s="2" t="b">
        <f t="shared" si="25"/>
        <v>0</v>
      </c>
    </row>
    <row r="1600" spans="2:9" x14ac:dyDescent="0.25">
      <c r="B1600" s="161">
        <v>41419</v>
      </c>
      <c r="C1600" s="12" t="s">
        <v>792</v>
      </c>
      <c r="D1600" s="12" t="s">
        <v>801</v>
      </c>
      <c r="E1600" s="12" t="s">
        <v>798</v>
      </c>
      <c r="F1600" s="12" t="s">
        <v>794</v>
      </c>
      <c r="G1600" s="55">
        <v>2581</v>
      </c>
      <c r="H1600" s="55">
        <v>6975</v>
      </c>
      <c r="I1600" s="2" t="b">
        <f t="shared" si="25"/>
        <v>0</v>
      </c>
    </row>
    <row r="1601" spans="2:9" x14ac:dyDescent="0.25">
      <c r="B1601" s="161">
        <v>41057</v>
      </c>
      <c r="C1601" s="12" t="s">
        <v>805</v>
      </c>
      <c r="D1601" s="12" t="s">
        <v>457</v>
      </c>
      <c r="E1601" s="12" t="s">
        <v>800</v>
      </c>
      <c r="F1601" s="12" t="s">
        <v>791</v>
      </c>
      <c r="G1601" s="55">
        <v>3592</v>
      </c>
      <c r="H1601" s="55">
        <v>6531</v>
      </c>
      <c r="I1601" s="2" t="b">
        <f t="shared" si="25"/>
        <v>0</v>
      </c>
    </row>
    <row r="1602" spans="2:9" x14ac:dyDescent="0.25">
      <c r="B1602" s="161">
        <v>41516</v>
      </c>
      <c r="C1602" s="12" t="s">
        <v>802</v>
      </c>
      <c r="D1602" s="12" t="s">
        <v>652</v>
      </c>
      <c r="E1602" s="12" t="s">
        <v>800</v>
      </c>
      <c r="F1602" s="12" t="s">
        <v>799</v>
      </c>
      <c r="G1602" s="55">
        <v>8816</v>
      </c>
      <c r="H1602" s="55">
        <v>9430</v>
      </c>
      <c r="I1602" s="2" t="b">
        <f t="shared" si="25"/>
        <v>0</v>
      </c>
    </row>
    <row r="1603" spans="2:9" x14ac:dyDescent="0.25">
      <c r="B1603" s="161">
        <v>41333</v>
      </c>
      <c r="C1603" s="12" t="s">
        <v>805</v>
      </c>
      <c r="D1603" s="12" t="s">
        <v>801</v>
      </c>
      <c r="E1603" s="12" t="s">
        <v>807</v>
      </c>
      <c r="F1603" s="12" t="s">
        <v>794</v>
      </c>
      <c r="G1603" s="55">
        <v>207</v>
      </c>
      <c r="H1603" s="55">
        <v>276</v>
      </c>
      <c r="I1603" s="2" t="b">
        <f t="shared" si="25"/>
        <v>0</v>
      </c>
    </row>
    <row r="1604" spans="2:9" x14ac:dyDescent="0.25">
      <c r="B1604" s="161">
        <v>40980</v>
      </c>
      <c r="C1604" s="12" t="s">
        <v>792</v>
      </c>
      <c r="D1604" s="12" t="s">
        <v>797</v>
      </c>
      <c r="E1604" s="12" t="s">
        <v>795</v>
      </c>
      <c r="F1604" s="12" t="s">
        <v>796</v>
      </c>
      <c r="G1604" s="55">
        <v>2183</v>
      </c>
      <c r="H1604" s="55">
        <v>5896</v>
      </c>
      <c r="I1604" s="2" t="b">
        <f t="shared" si="25"/>
        <v>0</v>
      </c>
    </row>
    <row r="1605" spans="2:9" x14ac:dyDescent="0.25">
      <c r="B1605" s="161">
        <v>41138</v>
      </c>
      <c r="C1605" s="12" t="s">
        <v>805</v>
      </c>
      <c r="D1605" s="12" t="s">
        <v>457</v>
      </c>
      <c r="E1605" s="12" t="s">
        <v>487</v>
      </c>
      <c r="F1605" s="12" t="s">
        <v>794</v>
      </c>
      <c r="G1605" s="55">
        <v>3740</v>
      </c>
      <c r="H1605" s="55">
        <v>4988</v>
      </c>
      <c r="I1605" s="2" t="b">
        <f t="shared" si="25"/>
        <v>0</v>
      </c>
    </row>
    <row r="1606" spans="2:9" x14ac:dyDescent="0.25">
      <c r="B1606" s="161">
        <v>41413</v>
      </c>
      <c r="C1606" s="12" t="s">
        <v>792</v>
      </c>
      <c r="D1606" s="12" t="s">
        <v>801</v>
      </c>
      <c r="E1606" s="12" t="s">
        <v>795</v>
      </c>
      <c r="F1606" s="12" t="s">
        <v>796</v>
      </c>
      <c r="G1606" s="55">
        <v>4967</v>
      </c>
      <c r="H1606" s="55">
        <v>7303</v>
      </c>
      <c r="I1606" s="2" t="b">
        <f t="shared" si="25"/>
        <v>0</v>
      </c>
    </row>
    <row r="1607" spans="2:9" x14ac:dyDescent="0.25">
      <c r="B1607" s="161">
        <v>41028</v>
      </c>
      <c r="C1607" s="12" t="s">
        <v>790</v>
      </c>
      <c r="D1607" s="12" t="s">
        <v>457</v>
      </c>
      <c r="E1607" s="12" t="s">
        <v>804</v>
      </c>
      <c r="F1607" s="12" t="s">
        <v>794</v>
      </c>
      <c r="G1607" s="55">
        <v>2647</v>
      </c>
      <c r="H1607" s="55">
        <v>6155</v>
      </c>
      <c r="I1607" s="2" t="b">
        <f t="shared" ref="I1607:I1670" si="26">AND($K$9=C1607,$L$9=D1607,$M$9=F1607)</f>
        <v>0</v>
      </c>
    </row>
    <row r="1608" spans="2:9" x14ac:dyDescent="0.25">
      <c r="B1608" s="161">
        <v>41568</v>
      </c>
      <c r="C1608" s="12" t="s">
        <v>790</v>
      </c>
      <c r="D1608" s="12" t="s">
        <v>457</v>
      </c>
      <c r="E1608" s="12" t="s">
        <v>798</v>
      </c>
      <c r="F1608" s="12" t="s">
        <v>796</v>
      </c>
      <c r="G1608" s="55">
        <v>8115</v>
      </c>
      <c r="H1608" s="55">
        <v>8679</v>
      </c>
      <c r="I1608" s="2" t="b">
        <f t="shared" si="26"/>
        <v>0</v>
      </c>
    </row>
    <row r="1609" spans="2:9" x14ac:dyDescent="0.25">
      <c r="B1609" s="161">
        <v>40962</v>
      </c>
      <c r="C1609" s="12" t="s">
        <v>792</v>
      </c>
      <c r="D1609" s="12" t="s">
        <v>801</v>
      </c>
      <c r="E1609" s="12" t="s">
        <v>798</v>
      </c>
      <c r="F1609" s="12" t="s">
        <v>794</v>
      </c>
      <c r="G1609" s="55">
        <v>1777</v>
      </c>
      <c r="H1609" s="55">
        <v>2370</v>
      </c>
      <c r="I1609" s="2" t="b">
        <f t="shared" si="26"/>
        <v>0</v>
      </c>
    </row>
    <row r="1610" spans="2:9" x14ac:dyDescent="0.25">
      <c r="B1610" s="161">
        <v>40924</v>
      </c>
      <c r="C1610" s="12" t="s">
        <v>802</v>
      </c>
      <c r="D1610" s="12" t="s">
        <v>797</v>
      </c>
      <c r="E1610" s="12" t="s">
        <v>807</v>
      </c>
      <c r="F1610" s="12" t="s">
        <v>794</v>
      </c>
      <c r="G1610" s="55">
        <v>3207</v>
      </c>
      <c r="H1610" s="55">
        <v>5528</v>
      </c>
      <c r="I1610" s="2" t="b">
        <f t="shared" si="26"/>
        <v>0</v>
      </c>
    </row>
    <row r="1611" spans="2:9" x14ac:dyDescent="0.25">
      <c r="B1611" s="161">
        <v>41188</v>
      </c>
      <c r="C1611" s="12" t="s">
        <v>792</v>
      </c>
      <c r="D1611" s="12" t="s">
        <v>652</v>
      </c>
      <c r="E1611" s="12" t="s">
        <v>795</v>
      </c>
      <c r="F1611" s="12" t="s">
        <v>796</v>
      </c>
      <c r="G1611" s="55">
        <v>1547</v>
      </c>
      <c r="H1611" s="55">
        <v>3439</v>
      </c>
      <c r="I1611" s="2" t="b">
        <f t="shared" si="26"/>
        <v>0</v>
      </c>
    </row>
    <row r="1612" spans="2:9" x14ac:dyDescent="0.25">
      <c r="B1612" s="161">
        <v>41150</v>
      </c>
      <c r="C1612" s="12" t="s">
        <v>790</v>
      </c>
      <c r="D1612" s="12" t="s">
        <v>801</v>
      </c>
      <c r="E1612" s="12" t="s">
        <v>808</v>
      </c>
      <c r="F1612" s="12" t="s">
        <v>791</v>
      </c>
      <c r="G1612" s="55">
        <v>1421</v>
      </c>
      <c r="H1612" s="55">
        <v>2090</v>
      </c>
      <c r="I1612" s="2" t="b">
        <f t="shared" si="26"/>
        <v>0</v>
      </c>
    </row>
    <row r="1613" spans="2:9" x14ac:dyDescent="0.25">
      <c r="B1613" s="161">
        <v>41527</v>
      </c>
      <c r="C1613" s="12" t="s">
        <v>792</v>
      </c>
      <c r="D1613" s="12" t="s">
        <v>457</v>
      </c>
      <c r="E1613" s="12" t="s">
        <v>808</v>
      </c>
      <c r="F1613" s="12" t="s">
        <v>794</v>
      </c>
      <c r="G1613" s="55">
        <v>1625</v>
      </c>
      <c r="H1613" s="55">
        <v>4393</v>
      </c>
      <c r="I1613" s="2" t="b">
        <f t="shared" si="26"/>
        <v>1</v>
      </c>
    </row>
    <row r="1614" spans="2:9" x14ac:dyDescent="0.25">
      <c r="B1614" s="161">
        <v>40996</v>
      </c>
      <c r="C1614" s="12" t="s">
        <v>805</v>
      </c>
      <c r="D1614" s="12" t="s">
        <v>457</v>
      </c>
      <c r="E1614" s="12" t="s">
        <v>806</v>
      </c>
      <c r="F1614" s="12" t="s">
        <v>794</v>
      </c>
      <c r="G1614" s="55">
        <v>288</v>
      </c>
      <c r="H1614" s="55">
        <v>524</v>
      </c>
      <c r="I1614" s="2" t="b">
        <f t="shared" si="26"/>
        <v>0</v>
      </c>
    </row>
    <row r="1615" spans="2:9" x14ac:dyDescent="0.25">
      <c r="B1615" s="161">
        <v>41070</v>
      </c>
      <c r="C1615" s="12" t="s">
        <v>790</v>
      </c>
      <c r="D1615" s="12" t="s">
        <v>801</v>
      </c>
      <c r="E1615" s="12" t="s">
        <v>803</v>
      </c>
      <c r="F1615" s="12" t="s">
        <v>796</v>
      </c>
      <c r="G1615" s="55">
        <v>3659</v>
      </c>
      <c r="H1615" s="55">
        <v>8507</v>
      </c>
      <c r="I1615" s="2" t="b">
        <f t="shared" si="26"/>
        <v>0</v>
      </c>
    </row>
    <row r="1616" spans="2:9" x14ac:dyDescent="0.25">
      <c r="B1616" s="161">
        <v>41133</v>
      </c>
      <c r="C1616" s="12" t="s">
        <v>802</v>
      </c>
      <c r="D1616" s="12" t="s">
        <v>797</v>
      </c>
      <c r="E1616" s="12" t="s">
        <v>800</v>
      </c>
      <c r="F1616" s="12" t="s">
        <v>791</v>
      </c>
      <c r="G1616" s="55">
        <v>6143</v>
      </c>
      <c r="H1616" s="55">
        <v>6980</v>
      </c>
      <c r="I1616" s="2" t="b">
        <f t="shared" si="26"/>
        <v>0</v>
      </c>
    </row>
    <row r="1617" spans="2:9" x14ac:dyDescent="0.25">
      <c r="B1617" s="161">
        <v>40962</v>
      </c>
      <c r="C1617" s="12" t="s">
        <v>802</v>
      </c>
      <c r="D1617" s="12" t="s">
        <v>801</v>
      </c>
      <c r="E1617" s="12" t="s">
        <v>809</v>
      </c>
      <c r="F1617" s="12" t="s">
        <v>791</v>
      </c>
      <c r="G1617" s="55">
        <v>3424</v>
      </c>
      <c r="H1617" s="55">
        <v>3891</v>
      </c>
      <c r="I1617" s="2" t="b">
        <f t="shared" si="26"/>
        <v>0</v>
      </c>
    </row>
    <row r="1618" spans="2:9" x14ac:dyDescent="0.25">
      <c r="B1618" s="161">
        <v>41357</v>
      </c>
      <c r="C1618" s="12" t="s">
        <v>805</v>
      </c>
      <c r="D1618" s="12" t="s">
        <v>652</v>
      </c>
      <c r="E1618" s="12" t="s">
        <v>487</v>
      </c>
      <c r="F1618" s="12" t="s">
        <v>791</v>
      </c>
      <c r="G1618" s="55">
        <v>1831</v>
      </c>
      <c r="H1618" s="55">
        <v>4949</v>
      </c>
      <c r="I1618" s="2" t="b">
        <f t="shared" si="26"/>
        <v>0</v>
      </c>
    </row>
    <row r="1619" spans="2:9" x14ac:dyDescent="0.25">
      <c r="B1619" s="161">
        <v>40963</v>
      </c>
      <c r="C1619" s="12" t="s">
        <v>805</v>
      </c>
      <c r="D1619" s="12" t="s">
        <v>457</v>
      </c>
      <c r="E1619" s="12" t="s">
        <v>803</v>
      </c>
      <c r="F1619" s="12" t="s">
        <v>799</v>
      </c>
      <c r="G1619" s="55">
        <v>1959</v>
      </c>
      <c r="H1619" s="55">
        <v>3379</v>
      </c>
      <c r="I1619" s="2" t="b">
        <f t="shared" si="26"/>
        <v>0</v>
      </c>
    </row>
    <row r="1620" spans="2:9" x14ac:dyDescent="0.25">
      <c r="B1620" s="161">
        <v>41195</v>
      </c>
      <c r="C1620" s="12" t="s">
        <v>790</v>
      </c>
      <c r="D1620" s="12" t="s">
        <v>652</v>
      </c>
      <c r="E1620" s="12" t="s">
        <v>804</v>
      </c>
      <c r="F1620" s="12" t="s">
        <v>791</v>
      </c>
      <c r="G1620" s="55">
        <v>1110</v>
      </c>
      <c r="H1620" s="55">
        <v>1186</v>
      </c>
      <c r="I1620" s="2" t="b">
        <f t="shared" si="26"/>
        <v>0</v>
      </c>
    </row>
    <row r="1621" spans="2:9" x14ac:dyDescent="0.25">
      <c r="B1621" s="161">
        <v>41482</v>
      </c>
      <c r="C1621" s="12" t="s">
        <v>805</v>
      </c>
      <c r="D1621" s="12" t="s">
        <v>652</v>
      </c>
      <c r="E1621" s="12" t="s">
        <v>808</v>
      </c>
      <c r="F1621" s="12" t="s">
        <v>794</v>
      </c>
      <c r="G1621" s="55">
        <v>2692</v>
      </c>
      <c r="H1621" s="55">
        <v>7273</v>
      </c>
      <c r="I1621" s="2" t="b">
        <f t="shared" si="26"/>
        <v>0</v>
      </c>
    </row>
    <row r="1622" spans="2:9" x14ac:dyDescent="0.25">
      <c r="B1622" s="161">
        <v>40994</v>
      </c>
      <c r="C1622" s="12" t="s">
        <v>805</v>
      </c>
      <c r="D1622" s="12" t="s">
        <v>457</v>
      </c>
      <c r="E1622" s="12" t="s">
        <v>806</v>
      </c>
      <c r="F1622" s="12" t="s">
        <v>796</v>
      </c>
      <c r="G1622" s="55">
        <v>3489</v>
      </c>
      <c r="H1622" s="55">
        <v>3965</v>
      </c>
      <c r="I1622" s="2" t="b">
        <f t="shared" si="26"/>
        <v>0</v>
      </c>
    </row>
    <row r="1623" spans="2:9" x14ac:dyDescent="0.25">
      <c r="B1623" s="161">
        <v>41072</v>
      </c>
      <c r="C1623" s="12" t="s">
        <v>805</v>
      </c>
      <c r="D1623" s="12" t="s">
        <v>457</v>
      </c>
      <c r="E1623" s="12" t="s">
        <v>795</v>
      </c>
      <c r="F1623" s="12" t="s">
        <v>794</v>
      </c>
      <c r="G1623" s="55">
        <v>2293</v>
      </c>
      <c r="H1623" s="55">
        <v>5331</v>
      </c>
      <c r="I1623" s="2" t="b">
        <f t="shared" si="26"/>
        <v>0</v>
      </c>
    </row>
    <row r="1624" spans="2:9" x14ac:dyDescent="0.25">
      <c r="B1624" s="161">
        <v>40973</v>
      </c>
      <c r="C1624" s="12" t="s">
        <v>805</v>
      </c>
      <c r="D1624" s="12" t="s">
        <v>457</v>
      </c>
      <c r="E1624" s="12" t="s">
        <v>809</v>
      </c>
      <c r="F1624" s="12" t="s">
        <v>799</v>
      </c>
      <c r="G1624" s="55">
        <v>3413</v>
      </c>
      <c r="H1624" s="55">
        <v>5883</v>
      </c>
      <c r="I1624" s="2" t="b">
        <f t="shared" si="26"/>
        <v>0</v>
      </c>
    </row>
    <row r="1625" spans="2:9" x14ac:dyDescent="0.25">
      <c r="B1625" s="161">
        <v>41519</v>
      </c>
      <c r="C1625" s="12" t="s">
        <v>805</v>
      </c>
      <c r="D1625" s="12" t="s">
        <v>457</v>
      </c>
      <c r="E1625" s="12" t="s">
        <v>795</v>
      </c>
      <c r="F1625" s="12" t="s">
        <v>794</v>
      </c>
      <c r="G1625" s="55">
        <v>3760</v>
      </c>
      <c r="H1625" s="55">
        <v>8744</v>
      </c>
      <c r="I1625" s="2" t="b">
        <f t="shared" si="26"/>
        <v>0</v>
      </c>
    </row>
    <row r="1626" spans="2:9" x14ac:dyDescent="0.25">
      <c r="B1626" s="161">
        <v>41460</v>
      </c>
      <c r="C1626" s="12" t="s">
        <v>805</v>
      </c>
      <c r="D1626" s="12" t="s">
        <v>797</v>
      </c>
      <c r="E1626" s="12" t="s">
        <v>607</v>
      </c>
      <c r="F1626" s="12" t="s">
        <v>794</v>
      </c>
      <c r="G1626" s="55">
        <v>701</v>
      </c>
      <c r="H1626" s="55">
        <v>751</v>
      </c>
      <c r="I1626" s="2" t="b">
        <f t="shared" si="26"/>
        <v>0</v>
      </c>
    </row>
    <row r="1627" spans="2:9" x14ac:dyDescent="0.25">
      <c r="B1627" s="161">
        <v>41254</v>
      </c>
      <c r="C1627" s="12" t="s">
        <v>792</v>
      </c>
      <c r="D1627" s="12" t="s">
        <v>652</v>
      </c>
      <c r="E1627" s="12" t="s">
        <v>793</v>
      </c>
      <c r="F1627" s="12" t="s">
        <v>796</v>
      </c>
      <c r="G1627" s="55">
        <v>4426</v>
      </c>
      <c r="H1627" s="55">
        <v>4733</v>
      </c>
      <c r="I1627" s="2" t="b">
        <f t="shared" si="26"/>
        <v>0</v>
      </c>
    </row>
    <row r="1628" spans="2:9" x14ac:dyDescent="0.25">
      <c r="B1628" s="161">
        <v>41147</v>
      </c>
      <c r="C1628" s="12" t="s">
        <v>792</v>
      </c>
      <c r="D1628" s="12" t="s">
        <v>801</v>
      </c>
      <c r="E1628" s="12" t="s">
        <v>795</v>
      </c>
      <c r="F1628" s="12" t="s">
        <v>791</v>
      </c>
      <c r="G1628" s="55">
        <v>3880</v>
      </c>
      <c r="H1628" s="55">
        <v>4149</v>
      </c>
      <c r="I1628" s="2" t="b">
        <f t="shared" si="26"/>
        <v>0</v>
      </c>
    </row>
    <row r="1629" spans="2:9" x14ac:dyDescent="0.25">
      <c r="B1629" s="161">
        <v>41588</v>
      </c>
      <c r="C1629" s="12" t="s">
        <v>802</v>
      </c>
      <c r="D1629" s="12" t="s">
        <v>801</v>
      </c>
      <c r="E1629" s="12" t="s">
        <v>795</v>
      </c>
      <c r="F1629" s="12" t="s">
        <v>799</v>
      </c>
      <c r="G1629" s="55">
        <v>245</v>
      </c>
      <c r="H1629" s="55">
        <v>443</v>
      </c>
      <c r="I1629" s="2" t="b">
        <f t="shared" si="26"/>
        <v>0</v>
      </c>
    </row>
    <row r="1630" spans="2:9" x14ac:dyDescent="0.25">
      <c r="B1630" s="161">
        <v>41305</v>
      </c>
      <c r="C1630" s="12" t="s">
        <v>792</v>
      </c>
      <c r="D1630" s="12" t="s">
        <v>797</v>
      </c>
      <c r="E1630" s="12" t="s">
        <v>800</v>
      </c>
      <c r="F1630" s="12" t="s">
        <v>794</v>
      </c>
      <c r="G1630" s="55">
        <v>347</v>
      </c>
      <c r="H1630" s="55">
        <v>395</v>
      </c>
      <c r="I1630" s="2" t="b">
        <f t="shared" si="26"/>
        <v>0</v>
      </c>
    </row>
    <row r="1631" spans="2:9" x14ac:dyDescent="0.25">
      <c r="B1631" s="161">
        <v>41077</v>
      </c>
      <c r="C1631" s="12" t="s">
        <v>802</v>
      </c>
      <c r="D1631" s="12" t="s">
        <v>652</v>
      </c>
      <c r="E1631" s="12" t="s">
        <v>808</v>
      </c>
      <c r="F1631" s="12" t="s">
        <v>796</v>
      </c>
      <c r="G1631" s="55">
        <v>677</v>
      </c>
      <c r="H1631" s="55">
        <v>1147</v>
      </c>
      <c r="I1631" s="2" t="b">
        <f t="shared" si="26"/>
        <v>0</v>
      </c>
    </row>
    <row r="1632" spans="2:9" x14ac:dyDescent="0.25">
      <c r="B1632" s="161">
        <v>41445</v>
      </c>
      <c r="C1632" s="12" t="s">
        <v>792</v>
      </c>
      <c r="D1632" s="12" t="s">
        <v>801</v>
      </c>
      <c r="E1632" s="12" t="s">
        <v>800</v>
      </c>
      <c r="F1632" s="12" t="s">
        <v>794</v>
      </c>
      <c r="G1632" s="55">
        <v>4482</v>
      </c>
      <c r="H1632" s="55">
        <v>7596</v>
      </c>
      <c r="I1632" s="2" t="b">
        <f t="shared" si="26"/>
        <v>0</v>
      </c>
    </row>
    <row r="1633" spans="2:9" x14ac:dyDescent="0.25">
      <c r="B1633" s="161">
        <v>41241</v>
      </c>
      <c r="C1633" s="12" t="s">
        <v>805</v>
      </c>
      <c r="D1633" s="12" t="s">
        <v>652</v>
      </c>
      <c r="E1633" s="12" t="s">
        <v>808</v>
      </c>
      <c r="F1633" s="12" t="s">
        <v>796</v>
      </c>
      <c r="G1633" s="55">
        <v>2144</v>
      </c>
      <c r="H1633" s="55">
        <v>4764</v>
      </c>
      <c r="I1633" s="2" t="b">
        <f t="shared" si="26"/>
        <v>0</v>
      </c>
    </row>
    <row r="1634" spans="2:9" x14ac:dyDescent="0.25">
      <c r="B1634" s="161">
        <v>41015</v>
      </c>
      <c r="C1634" s="12" t="s">
        <v>792</v>
      </c>
      <c r="D1634" s="12" t="s">
        <v>801</v>
      </c>
      <c r="E1634" s="12" t="s">
        <v>808</v>
      </c>
      <c r="F1634" s="12" t="s">
        <v>794</v>
      </c>
      <c r="G1634" s="55">
        <v>5201</v>
      </c>
      <c r="H1634" s="55">
        <v>6934</v>
      </c>
      <c r="I1634" s="2" t="b">
        <f t="shared" si="26"/>
        <v>0</v>
      </c>
    </row>
    <row r="1635" spans="2:9" x14ac:dyDescent="0.25">
      <c r="B1635" s="161">
        <v>41512</v>
      </c>
      <c r="C1635" s="12" t="s">
        <v>790</v>
      </c>
      <c r="D1635" s="12" t="s">
        <v>652</v>
      </c>
      <c r="E1635" s="12" t="s">
        <v>487</v>
      </c>
      <c r="F1635" s="12" t="s">
        <v>791</v>
      </c>
      <c r="G1635" s="55">
        <v>250</v>
      </c>
      <c r="H1635" s="55">
        <v>452</v>
      </c>
      <c r="I1635" s="2" t="b">
        <f t="shared" si="26"/>
        <v>0</v>
      </c>
    </row>
    <row r="1636" spans="2:9" x14ac:dyDescent="0.25">
      <c r="B1636" s="161">
        <v>41148</v>
      </c>
      <c r="C1636" s="12" t="s">
        <v>805</v>
      </c>
      <c r="D1636" s="12" t="s">
        <v>652</v>
      </c>
      <c r="E1636" s="12" t="s">
        <v>487</v>
      </c>
      <c r="F1636" s="12" t="s">
        <v>794</v>
      </c>
      <c r="G1636" s="55">
        <v>3426</v>
      </c>
      <c r="H1636" s="55">
        <v>6227</v>
      </c>
      <c r="I1636" s="2" t="b">
        <f t="shared" si="26"/>
        <v>0</v>
      </c>
    </row>
    <row r="1637" spans="2:9" x14ac:dyDescent="0.25">
      <c r="B1637" s="161">
        <v>41562</v>
      </c>
      <c r="C1637" s="12" t="s">
        <v>790</v>
      </c>
      <c r="D1637" s="12" t="s">
        <v>801</v>
      </c>
      <c r="E1637" s="12" t="s">
        <v>807</v>
      </c>
      <c r="F1637" s="12" t="s">
        <v>791</v>
      </c>
      <c r="G1637" s="55">
        <v>2990</v>
      </c>
      <c r="H1637" s="55">
        <v>6644</v>
      </c>
      <c r="I1637" s="2" t="b">
        <f t="shared" si="26"/>
        <v>0</v>
      </c>
    </row>
    <row r="1638" spans="2:9" x14ac:dyDescent="0.25">
      <c r="B1638" s="161">
        <v>41547</v>
      </c>
      <c r="C1638" s="12" t="s">
        <v>805</v>
      </c>
      <c r="D1638" s="12" t="s">
        <v>652</v>
      </c>
      <c r="E1638" s="12" t="s">
        <v>808</v>
      </c>
      <c r="F1638" s="12" t="s">
        <v>791</v>
      </c>
      <c r="G1638" s="55">
        <v>3237</v>
      </c>
      <c r="H1638" s="55">
        <v>8748</v>
      </c>
      <c r="I1638" s="2" t="b">
        <f t="shared" si="26"/>
        <v>0</v>
      </c>
    </row>
    <row r="1639" spans="2:9" x14ac:dyDescent="0.25">
      <c r="B1639" s="161">
        <v>41016</v>
      </c>
      <c r="C1639" s="12" t="s">
        <v>802</v>
      </c>
      <c r="D1639" s="12" t="s">
        <v>457</v>
      </c>
      <c r="E1639" s="12" t="s">
        <v>806</v>
      </c>
      <c r="F1639" s="12" t="s">
        <v>794</v>
      </c>
      <c r="G1639" s="55">
        <v>3781</v>
      </c>
      <c r="H1639" s="55">
        <v>8404</v>
      </c>
      <c r="I1639" s="2" t="b">
        <f t="shared" si="26"/>
        <v>0</v>
      </c>
    </row>
    <row r="1640" spans="2:9" x14ac:dyDescent="0.25">
      <c r="B1640" s="161">
        <v>41124</v>
      </c>
      <c r="C1640" s="12" t="s">
        <v>792</v>
      </c>
      <c r="D1640" s="12" t="s">
        <v>797</v>
      </c>
      <c r="E1640" s="12" t="s">
        <v>798</v>
      </c>
      <c r="F1640" s="12" t="s">
        <v>791</v>
      </c>
      <c r="G1640" s="55">
        <v>3760</v>
      </c>
      <c r="H1640" s="55">
        <v>8743</v>
      </c>
      <c r="I1640" s="2" t="b">
        <f t="shared" si="26"/>
        <v>0</v>
      </c>
    </row>
    <row r="1641" spans="2:9" x14ac:dyDescent="0.25">
      <c r="B1641" s="161">
        <v>41485</v>
      </c>
      <c r="C1641" s="12" t="s">
        <v>802</v>
      </c>
      <c r="D1641" s="12" t="s">
        <v>801</v>
      </c>
      <c r="E1641" s="12" t="s">
        <v>798</v>
      </c>
      <c r="F1641" s="12" t="s">
        <v>791</v>
      </c>
      <c r="G1641" s="55">
        <v>816</v>
      </c>
      <c r="H1641" s="55">
        <v>874</v>
      </c>
      <c r="I1641" s="2" t="b">
        <f t="shared" si="26"/>
        <v>0</v>
      </c>
    </row>
    <row r="1642" spans="2:9" x14ac:dyDescent="0.25">
      <c r="B1642" s="161">
        <v>41132</v>
      </c>
      <c r="C1642" s="12" t="s">
        <v>790</v>
      </c>
      <c r="D1642" s="12" t="s">
        <v>801</v>
      </c>
      <c r="E1642" s="12" t="s">
        <v>804</v>
      </c>
      <c r="F1642" s="12" t="s">
        <v>799</v>
      </c>
      <c r="G1642" s="55">
        <v>4045</v>
      </c>
      <c r="H1642" s="55">
        <v>7354</v>
      </c>
      <c r="I1642" s="2" t="b">
        <f t="shared" si="26"/>
        <v>0</v>
      </c>
    </row>
    <row r="1643" spans="2:9" x14ac:dyDescent="0.25">
      <c r="B1643" s="161">
        <v>41416</v>
      </c>
      <c r="C1643" s="12" t="s">
        <v>792</v>
      </c>
      <c r="D1643" s="12" t="s">
        <v>801</v>
      </c>
      <c r="E1643" s="12" t="s">
        <v>793</v>
      </c>
      <c r="F1643" s="12" t="s">
        <v>791</v>
      </c>
      <c r="G1643" s="55">
        <v>2828</v>
      </c>
      <c r="H1643" s="55">
        <v>4793</v>
      </c>
      <c r="I1643" s="2" t="b">
        <f t="shared" si="26"/>
        <v>0</v>
      </c>
    </row>
    <row r="1644" spans="2:9" x14ac:dyDescent="0.25">
      <c r="B1644" s="161">
        <v>41597</v>
      </c>
      <c r="C1644" s="12" t="s">
        <v>790</v>
      </c>
      <c r="D1644" s="12" t="s">
        <v>801</v>
      </c>
      <c r="E1644" s="12" t="s">
        <v>800</v>
      </c>
      <c r="F1644" s="12" t="s">
        <v>799</v>
      </c>
      <c r="G1644" s="55">
        <v>401</v>
      </c>
      <c r="H1644" s="55">
        <v>534</v>
      </c>
      <c r="I1644" s="2" t="b">
        <f t="shared" si="26"/>
        <v>0</v>
      </c>
    </row>
    <row r="1645" spans="2:9" x14ac:dyDescent="0.25">
      <c r="B1645" s="161">
        <v>41422</v>
      </c>
      <c r="C1645" s="12" t="s">
        <v>802</v>
      </c>
      <c r="D1645" s="12" t="s">
        <v>652</v>
      </c>
      <c r="E1645" s="12" t="s">
        <v>803</v>
      </c>
      <c r="F1645" s="12" t="s">
        <v>796</v>
      </c>
      <c r="G1645" s="55">
        <v>6921</v>
      </c>
      <c r="H1645" s="55">
        <v>7864</v>
      </c>
      <c r="I1645" s="2" t="b">
        <f t="shared" si="26"/>
        <v>0</v>
      </c>
    </row>
    <row r="1646" spans="2:9" x14ac:dyDescent="0.25">
      <c r="B1646" s="161">
        <v>41011</v>
      </c>
      <c r="C1646" s="12" t="s">
        <v>805</v>
      </c>
      <c r="D1646" s="12" t="s">
        <v>797</v>
      </c>
      <c r="E1646" s="12" t="s">
        <v>803</v>
      </c>
      <c r="F1646" s="12" t="s">
        <v>791</v>
      </c>
      <c r="G1646" s="55">
        <v>4394</v>
      </c>
      <c r="H1646" s="55">
        <v>7987</v>
      </c>
      <c r="I1646" s="2" t="b">
        <f t="shared" si="26"/>
        <v>0</v>
      </c>
    </row>
    <row r="1647" spans="2:9" x14ac:dyDescent="0.25">
      <c r="B1647" s="161">
        <v>40990</v>
      </c>
      <c r="C1647" s="12" t="s">
        <v>790</v>
      </c>
      <c r="D1647" s="12" t="s">
        <v>457</v>
      </c>
      <c r="E1647" s="12" t="s">
        <v>808</v>
      </c>
      <c r="F1647" s="12" t="s">
        <v>794</v>
      </c>
      <c r="G1647" s="55">
        <v>900</v>
      </c>
      <c r="H1647" s="55">
        <v>1525</v>
      </c>
      <c r="I1647" s="2" t="b">
        <f t="shared" si="26"/>
        <v>0</v>
      </c>
    </row>
    <row r="1648" spans="2:9" x14ac:dyDescent="0.25">
      <c r="B1648" s="161">
        <v>41081</v>
      </c>
      <c r="C1648" s="12" t="s">
        <v>790</v>
      </c>
      <c r="D1648" s="12" t="s">
        <v>652</v>
      </c>
      <c r="E1648" s="12" t="s">
        <v>808</v>
      </c>
      <c r="F1648" s="12" t="s">
        <v>799</v>
      </c>
      <c r="G1648" s="55">
        <v>1874</v>
      </c>
      <c r="H1648" s="55">
        <v>2756</v>
      </c>
      <c r="I1648" s="2" t="b">
        <f t="shared" si="26"/>
        <v>0</v>
      </c>
    </row>
    <row r="1649" spans="2:9" x14ac:dyDescent="0.25">
      <c r="B1649" s="161">
        <v>41178</v>
      </c>
      <c r="C1649" s="12" t="s">
        <v>802</v>
      </c>
      <c r="D1649" s="12" t="s">
        <v>801</v>
      </c>
      <c r="E1649" s="12" t="s">
        <v>798</v>
      </c>
      <c r="F1649" s="12" t="s">
        <v>794</v>
      </c>
      <c r="G1649" s="55">
        <v>1594</v>
      </c>
      <c r="H1649" s="55">
        <v>3708</v>
      </c>
      <c r="I1649" s="2" t="b">
        <f t="shared" si="26"/>
        <v>0</v>
      </c>
    </row>
    <row r="1650" spans="2:9" x14ac:dyDescent="0.25">
      <c r="B1650" s="161">
        <v>41133</v>
      </c>
      <c r="C1650" s="12" t="s">
        <v>790</v>
      </c>
      <c r="D1650" s="12" t="s">
        <v>797</v>
      </c>
      <c r="E1650" s="12" t="s">
        <v>807</v>
      </c>
      <c r="F1650" s="12" t="s">
        <v>791</v>
      </c>
      <c r="G1650" s="55">
        <v>6187</v>
      </c>
      <c r="H1650" s="55">
        <v>9100</v>
      </c>
      <c r="I1650" s="2" t="b">
        <f t="shared" si="26"/>
        <v>0</v>
      </c>
    </row>
    <row r="1651" spans="2:9" x14ac:dyDescent="0.25">
      <c r="B1651" s="161">
        <v>41004</v>
      </c>
      <c r="C1651" s="12" t="s">
        <v>790</v>
      </c>
      <c r="D1651" s="12" t="s">
        <v>457</v>
      </c>
      <c r="E1651" s="12" t="s">
        <v>487</v>
      </c>
      <c r="F1651" s="12" t="s">
        <v>799</v>
      </c>
      <c r="G1651" s="55">
        <v>5045</v>
      </c>
      <c r="H1651" s="55">
        <v>9171</v>
      </c>
      <c r="I1651" s="2" t="b">
        <f t="shared" si="26"/>
        <v>0</v>
      </c>
    </row>
    <row r="1652" spans="2:9" x14ac:dyDescent="0.25">
      <c r="B1652" s="161">
        <v>41597</v>
      </c>
      <c r="C1652" s="12" t="s">
        <v>790</v>
      </c>
      <c r="D1652" s="12" t="s">
        <v>652</v>
      </c>
      <c r="E1652" s="12" t="s">
        <v>798</v>
      </c>
      <c r="F1652" s="12" t="s">
        <v>791</v>
      </c>
      <c r="G1652" s="55">
        <v>4507</v>
      </c>
      <c r="H1652" s="55">
        <v>4820</v>
      </c>
      <c r="I1652" s="2" t="b">
        <f t="shared" si="26"/>
        <v>0</v>
      </c>
    </row>
    <row r="1653" spans="2:9" x14ac:dyDescent="0.25">
      <c r="B1653" s="161">
        <v>40989</v>
      </c>
      <c r="C1653" s="12" t="s">
        <v>802</v>
      </c>
      <c r="D1653" s="12" t="s">
        <v>652</v>
      </c>
      <c r="E1653" s="12" t="s">
        <v>806</v>
      </c>
      <c r="F1653" s="12" t="s">
        <v>796</v>
      </c>
      <c r="G1653" s="55">
        <v>5081</v>
      </c>
      <c r="H1653" s="55">
        <v>9237</v>
      </c>
      <c r="I1653" s="2" t="b">
        <f t="shared" si="26"/>
        <v>0</v>
      </c>
    </row>
    <row r="1654" spans="2:9" x14ac:dyDescent="0.25">
      <c r="B1654" s="161">
        <v>41447</v>
      </c>
      <c r="C1654" s="12" t="s">
        <v>790</v>
      </c>
      <c r="D1654" s="12" t="s">
        <v>797</v>
      </c>
      <c r="E1654" s="12" t="s">
        <v>808</v>
      </c>
      <c r="F1654" s="12" t="s">
        <v>791</v>
      </c>
      <c r="G1654" s="55">
        <v>657</v>
      </c>
      <c r="H1654" s="55">
        <v>1527</v>
      </c>
      <c r="I1654" s="2" t="b">
        <f t="shared" si="26"/>
        <v>0</v>
      </c>
    </row>
    <row r="1655" spans="2:9" x14ac:dyDescent="0.25">
      <c r="B1655" s="161">
        <v>41476</v>
      </c>
      <c r="C1655" s="12" t="s">
        <v>792</v>
      </c>
      <c r="D1655" s="12" t="s">
        <v>652</v>
      </c>
      <c r="E1655" s="12" t="s">
        <v>798</v>
      </c>
      <c r="F1655" s="12" t="s">
        <v>791</v>
      </c>
      <c r="G1655" s="55">
        <v>1626</v>
      </c>
      <c r="H1655" s="55">
        <v>2168</v>
      </c>
      <c r="I1655" s="2" t="b">
        <f t="shared" si="26"/>
        <v>0</v>
      </c>
    </row>
    <row r="1656" spans="2:9" x14ac:dyDescent="0.25">
      <c r="B1656" s="161">
        <v>41128</v>
      </c>
      <c r="C1656" s="12" t="s">
        <v>790</v>
      </c>
      <c r="D1656" s="12" t="s">
        <v>801</v>
      </c>
      <c r="E1656" s="12" t="s">
        <v>804</v>
      </c>
      <c r="F1656" s="12" t="s">
        <v>791</v>
      </c>
      <c r="G1656" s="55">
        <v>800</v>
      </c>
      <c r="H1656" s="55">
        <v>1378</v>
      </c>
      <c r="I1656" s="2" t="b">
        <f t="shared" si="26"/>
        <v>0</v>
      </c>
    </row>
    <row r="1657" spans="2:9" x14ac:dyDescent="0.25">
      <c r="B1657" s="161">
        <v>40980</v>
      </c>
      <c r="C1657" s="12" t="s">
        <v>792</v>
      </c>
      <c r="D1657" s="12" t="s">
        <v>457</v>
      </c>
      <c r="E1657" s="12" t="s">
        <v>487</v>
      </c>
      <c r="F1657" s="12" t="s">
        <v>796</v>
      </c>
      <c r="G1657" s="55">
        <v>4563</v>
      </c>
      <c r="H1657" s="55">
        <v>8296</v>
      </c>
      <c r="I1657" s="2" t="b">
        <f t="shared" si="26"/>
        <v>0</v>
      </c>
    </row>
    <row r="1658" spans="2:9" x14ac:dyDescent="0.25">
      <c r="B1658" s="161">
        <v>41622</v>
      </c>
      <c r="C1658" s="12" t="s">
        <v>805</v>
      </c>
      <c r="D1658" s="12" t="s">
        <v>801</v>
      </c>
      <c r="E1658" s="12" t="s">
        <v>803</v>
      </c>
      <c r="F1658" s="12" t="s">
        <v>794</v>
      </c>
      <c r="G1658" s="55">
        <v>1067</v>
      </c>
      <c r="H1658" s="55">
        <v>1940</v>
      </c>
      <c r="I1658" s="2" t="b">
        <f t="shared" si="26"/>
        <v>0</v>
      </c>
    </row>
    <row r="1659" spans="2:9" x14ac:dyDescent="0.25">
      <c r="B1659" s="161">
        <v>40959</v>
      </c>
      <c r="C1659" s="12" t="s">
        <v>792</v>
      </c>
      <c r="D1659" s="12" t="s">
        <v>801</v>
      </c>
      <c r="E1659" s="12" t="s">
        <v>800</v>
      </c>
      <c r="F1659" s="12" t="s">
        <v>791</v>
      </c>
      <c r="G1659" s="55">
        <v>2350</v>
      </c>
      <c r="H1659" s="55">
        <v>5223</v>
      </c>
      <c r="I1659" s="2" t="b">
        <f t="shared" si="26"/>
        <v>0</v>
      </c>
    </row>
    <row r="1660" spans="2:9" x14ac:dyDescent="0.25">
      <c r="B1660" s="161">
        <v>41348</v>
      </c>
      <c r="C1660" s="12" t="s">
        <v>792</v>
      </c>
      <c r="D1660" s="12" t="s">
        <v>652</v>
      </c>
      <c r="E1660" s="12" t="s">
        <v>795</v>
      </c>
      <c r="F1660" s="12" t="s">
        <v>791</v>
      </c>
      <c r="G1660" s="55">
        <v>5710</v>
      </c>
      <c r="H1660" s="55">
        <v>8395</v>
      </c>
      <c r="I1660" s="2" t="b">
        <f t="shared" si="26"/>
        <v>0</v>
      </c>
    </row>
    <row r="1661" spans="2:9" x14ac:dyDescent="0.25">
      <c r="B1661" s="161">
        <v>41504</v>
      </c>
      <c r="C1661" s="12" t="s">
        <v>802</v>
      </c>
      <c r="D1661" s="12" t="s">
        <v>652</v>
      </c>
      <c r="E1661" s="12" t="s">
        <v>487</v>
      </c>
      <c r="F1661" s="12" t="s">
        <v>799</v>
      </c>
      <c r="G1661" s="55">
        <v>5147</v>
      </c>
      <c r="H1661" s="55">
        <v>8876</v>
      </c>
      <c r="I1661" s="2" t="b">
        <f t="shared" si="26"/>
        <v>0</v>
      </c>
    </row>
    <row r="1662" spans="2:9" x14ac:dyDescent="0.25">
      <c r="B1662" s="161">
        <v>41304</v>
      </c>
      <c r="C1662" s="12" t="s">
        <v>805</v>
      </c>
      <c r="D1662" s="12" t="s">
        <v>801</v>
      </c>
      <c r="E1662" s="12" t="s">
        <v>803</v>
      </c>
      <c r="F1662" s="12" t="s">
        <v>791</v>
      </c>
      <c r="G1662" s="55">
        <v>1420</v>
      </c>
      <c r="H1662" s="55">
        <v>2447</v>
      </c>
      <c r="I1662" s="2" t="b">
        <f t="shared" si="26"/>
        <v>0</v>
      </c>
    </row>
    <row r="1663" spans="2:9" x14ac:dyDescent="0.25">
      <c r="B1663" s="161">
        <v>41608</v>
      </c>
      <c r="C1663" s="12" t="s">
        <v>792</v>
      </c>
      <c r="D1663" s="12" t="s">
        <v>801</v>
      </c>
      <c r="E1663" s="12" t="s">
        <v>798</v>
      </c>
      <c r="F1663" s="12" t="s">
        <v>791</v>
      </c>
      <c r="G1663" s="55">
        <v>219</v>
      </c>
      <c r="H1663" s="55">
        <v>509</v>
      </c>
      <c r="I1663" s="2" t="b">
        <f t="shared" si="26"/>
        <v>0</v>
      </c>
    </row>
    <row r="1664" spans="2:9" x14ac:dyDescent="0.25">
      <c r="B1664" s="161">
        <v>41219</v>
      </c>
      <c r="C1664" s="12" t="s">
        <v>792</v>
      </c>
      <c r="D1664" s="12" t="s">
        <v>652</v>
      </c>
      <c r="E1664" s="12" t="s">
        <v>798</v>
      </c>
      <c r="F1664" s="12" t="s">
        <v>796</v>
      </c>
      <c r="G1664" s="55">
        <v>3079</v>
      </c>
      <c r="H1664" s="55">
        <v>4527</v>
      </c>
      <c r="I1664" s="2" t="b">
        <f t="shared" si="26"/>
        <v>0</v>
      </c>
    </row>
    <row r="1665" spans="2:9" x14ac:dyDescent="0.25">
      <c r="B1665" s="161">
        <v>41006</v>
      </c>
      <c r="C1665" s="12" t="s">
        <v>802</v>
      </c>
      <c r="D1665" s="12" t="s">
        <v>801</v>
      </c>
      <c r="E1665" s="12" t="s">
        <v>806</v>
      </c>
      <c r="F1665" s="12" t="s">
        <v>796</v>
      </c>
      <c r="G1665" s="55">
        <v>2179</v>
      </c>
      <c r="H1665" s="55">
        <v>3692</v>
      </c>
      <c r="I1665" s="2" t="b">
        <f t="shared" si="26"/>
        <v>0</v>
      </c>
    </row>
    <row r="1666" spans="2:9" x14ac:dyDescent="0.25">
      <c r="B1666" s="161">
        <v>41559</v>
      </c>
      <c r="C1666" s="12" t="s">
        <v>792</v>
      </c>
      <c r="D1666" s="12" t="s">
        <v>457</v>
      </c>
      <c r="E1666" s="12" t="s">
        <v>806</v>
      </c>
      <c r="F1666" s="12" t="s">
        <v>794</v>
      </c>
      <c r="G1666" s="55">
        <v>1078</v>
      </c>
      <c r="H1666" s="55">
        <v>2395</v>
      </c>
      <c r="I1666" s="2" t="b">
        <f t="shared" si="26"/>
        <v>1</v>
      </c>
    </row>
    <row r="1667" spans="2:9" x14ac:dyDescent="0.25">
      <c r="B1667" s="161">
        <v>41538</v>
      </c>
      <c r="C1667" s="12" t="s">
        <v>790</v>
      </c>
      <c r="D1667" s="12" t="s">
        <v>457</v>
      </c>
      <c r="E1667" s="12" t="s">
        <v>487</v>
      </c>
      <c r="F1667" s="12" t="s">
        <v>799</v>
      </c>
      <c r="G1667" s="55">
        <v>2178</v>
      </c>
      <c r="H1667" s="55">
        <v>5884</v>
      </c>
      <c r="I1667" s="2" t="b">
        <f t="shared" si="26"/>
        <v>0</v>
      </c>
    </row>
    <row r="1668" spans="2:9" x14ac:dyDescent="0.25">
      <c r="B1668" s="161">
        <v>41461</v>
      </c>
      <c r="C1668" s="12" t="s">
        <v>802</v>
      </c>
      <c r="D1668" s="12" t="s">
        <v>801</v>
      </c>
      <c r="E1668" s="12" t="s">
        <v>807</v>
      </c>
      <c r="F1668" s="12" t="s">
        <v>794</v>
      </c>
      <c r="G1668" s="55">
        <v>9</v>
      </c>
      <c r="H1668" s="55">
        <v>15</v>
      </c>
      <c r="I1668" s="2" t="b">
        <f t="shared" si="26"/>
        <v>0</v>
      </c>
    </row>
    <row r="1669" spans="2:9" x14ac:dyDescent="0.25">
      <c r="B1669" s="161">
        <v>41031</v>
      </c>
      <c r="C1669" s="12" t="s">
        <v>802</v>
      </c>
      <c r="D1669" s="12" t="s">
        <v>457</v>
      </c>
      <c r="E1669" s="12" t="s">
        <v>808</v>
      </c>
      <c r="F1669" s="12" t="s">
        <v>794</v>
      </c>
      <c r="G1669" s="55">
        <v>4067</v>
      </c>
      <c r="H1669" s="55">
        <v>7013</v>
      </c>
      <c r="I1669" s="2" t="b">
        <f t="shared" si="26"/>
        <v>0</v>
      </c>
    </row>
    <row r="1670" spans="2:9" x14ac:dyDescent="0.25">
      <c r="B1670" s="161">
        <v>40949</v>
      </c>
      <c r="C1670" s="12" t="s">
        <v>805</v>
      </c>
      <c r="D1670" s="12" t="s">
        <v>652</v>
      </c>
      <c r="E1670" s="12" t="s">
        <v>803</v>
      </c>
      <c r="F1670" s="12" t="s">
        <v>796</v>
      </c>
      <c r="G1670" s="55">
        <v>180</v>
      </c>
      <c r="H1670" s="55">
        <v>238</v>
      </c>
      <c r="I1670" s="2" t="b">
        <f t="shared" si="26"/>
        <v>0</v>
      </c>
    </row>
    <row r="1671" spans="2:9" x14ac:dyDescent="0.25">
      <c r="B1671" s="161">
        <v>41036</v>
      </c>
      <c r="C1671" s="12" t="s">
        <v>802</v>
      </c>
      <c r="D1671" s="12" t="s">
        <v>801</v>
      </c>
      <c r="E1671" s="12" t="s">
        <v>800</v>
      </c>
      <c r="F1671" s="12" t="s">
        <v>791</v>
      </c>
      <c r="G1671" s="55">
        <v>4678</v>
      </c>
      <c r="H1671" s="55">
        <v>5002</v>
      </c>
      <c r="I1671" s="2" t="b">
        <f t="shared" ref="I1671:I1734" si="27">AND($K$9=C1671,$L$9=D1671,$M$9=F1671)</f>
        <v>0</v>
      </c>
    </row>
    <row r="1672" spans="2:9" x14ac:dyDescent="0.25">
      <c r="B1672" s="161">
        <v>41600</v>
      </c>
      <c r="C1672" s="12" t="s">
        <v>805</v>
      </c>
      <c r="D1672" s="12" t="s">
        <v>457</v>
      </c>
      <c r="E1672" s="12" t="s">
        <v>795</v>
      </c>
      <c r="F1672" s="12" t="s">
        <v>791</v>
      </c>
      <c r="G1672" s="55">
        <v>1015</v>
      </c>
      <c r="H1672" s="55">
        <v>1749</v>
      </c>
      <c r="I1672" s="2" t="b">
        <f t="shared" si="27"/>
        <v>0</v>
      </c>
    </row>
    <row r="1673" spans="2:9" x14ac:dyDescent="0.25">
      <c r="B1673" s="161">
        <v>41304</v>
      </c>
      <c r="C1673" s="12" t="s">
        <v>790</v>
      </c>
      <c r="D1673" s="12" t="s">
        <v>652</v>
      </c>
      <c r="E1673" s="12" t="s">
        <v>803</v>
      </c>
      <c r="F1673" s="12" t="s">
        <v>799</v>
      </c>
      <c r="G1673" s="55">
        <v>5989</v>
      </c>
      <c r="H1673" s="55">
        <v>6807</v>
      </c>
      <c r="I1673" s="2" t="b">
        <f t="shared" si="27"/>
        <v>0</v>
      </c>
    </row>
    <row r="1674" spans="2:9" x14ac:dyDescent="0.25">
      <c r="B1674" s="161">
        <v>41252</v>
      </c>
      <c r="C1674" s="12" t="s">
        <v>790</v>
      </c>
      <c r="D1674" s="12" t="s">
        <v>797</v>
      </c>
      <c r="E1674" s="12" t="s">
        <v>803</v>
      </c>
      <c r="F1674" s="12" t="s">
        <v>799</v>
      </c>
      <c r="G1674" s="55">
        <v>6031</v>
      </c>
      <c r="H1674" s="55">
        <v>8041</v>
      </c>
      <c r="I1674" s="2" t="b">
        <f t="shared" si="27"/>
        <v>0</v>
      </c>
    </row>
    <row r="1675" spans="2:9" x14ac:dyDescent="0.25">
      <c r="B1675" s="161">
        <v>41189</v>
      </c>
      <c r="C1675" s="12" t="s">
        <v>805</v>
      </c>
      <c r="D1675" s="12" t="s">
        <v>801</v>
      </c>
      <c r="E1675" s="12" t="s">
        <v>803</v>
      </c>
      <c r="F1675" s="12" t="s">
        <v>799</v>
      </c>
      <c r="G1675" s="55">
        <v>4575</v>
      </c>
      <c r="H1675" s="55">
        <v>6728</v>
      </c>
      <c r="I1675" s="2" t="b">
        <f t="shared" si="27"/>
        <v>0</v>
      </c>
    </row>
    <row r="1676" spans="2:9" x14ac:dyDescent="0.25">
      <c r="B1676" s="161">
        <v>41522</v>
      </c>
      <c r="C1676" s="12" t="s">
        <v>805</v>
      </c>
      <c r="D1676" s="12" t="s">
        <v>457</v>
      </c>
      <c r="E1676" s="12" t="s">
        <v>487</v>
      </c>
      <c r="F1676" s="12" t="s">
        <v>796</v>
      </c>
      <c r="G1676" s="55">
        <v>965</v>
      </c>
      <c r="H1676" s="55">
        <v>2246</v>
      </c>
      <c r="I1676" s="2" t="b">
        <f t="shared" si="27"/>
        <v>0</v>
      </c>
    </row>
    <row r="1677" spans="2:9" x14ac:dyDescent="0.25">
      <c r="B1677" s="161">
        <v>41339</v>
      </c>
      <c r="C1677" s="12" t="s">
        <v>805</v>
      </c>
      <c r="D1677" s="12" t="s">
        <v>801</v>
      </c>
      <c r="E1677" s="12" t="s">
        <v>607</v>
      </c>
      <c r="F1677" s="12" t="s">
        <v>791</v>
      </c>
      <c r="G1677" s="55">
        <v>927</v>
      </c>
      <c r="H1677" s="55">
        <v>2058</v>
      </c>
      <c r="I1677" s="2" t="b">
        <f t="shared" si="27"/>
        <v>0</v>
      </c>
    </row>
    <row r="1678" spans="2:9" x14ac:dyDescent="0.25">
      <c r="B1678" s="161">
        <v>41144</v>
      </c>
      <c r="C1678" s="12" t="s">
        <v>792</v>
      </c>
      <c r="D1678" s="12" t="s">
        <v>797</v>
      </c>
      <c r="E1678" s="12" t="s">
        <v>804</v>
      </c>
      <c r="F1678" s="12" t="s">
        <v>791</v>
      </c>
      <c r="G1678" s="55">
        <v>3777</v>
      </c>
      <c r="H1678" s="55">
        <v>4038</v>
      </c>
      <c r="I1678" s="2" t="b">
        <f t="shared" si="27"/>
        <v>0</v>
      </c>
    </row>
    <row r="1679" spans="2:9" x14ac:dyDescent="0.25">
      <c r="B1679" s="161">
        <v>41297</v>
      </c>
      <c r="C1679" s="12" t="s">
        <v>792</v>
      </c>
      <c r="D1679" s="12" t="s">
        <v>801</v>
      </c>
      <c r="E1679" s="12" t="s">
        <v>487</v>
      </c>
      <c r="F1679" s="12" t="s">
        <v>799</v>
      </c>
      <c r="G1679" s="55">
        <v>6395</v>
      </c>
      <c r="H1679" s="55">
        <v>9404</v>
      </c>
      <c r="I1679" s="2" t="b">
        <f t="shared" si="27"/>
        <v>0</v>
      </c>
    </row>
    <row r="1680" spans="2:9" x14ac:dyDescent="0.25">
      <c r="B1680" s="161">
        <v>41013</v>
      </c>
      <c r="C1680" s="12" t="s">
        <v>802</v>
      </c>
      <c r="D1680" s="12" t="s">
        <v>652</v>
      </c>
      <c r="E1680" s="12" t="s">
        <v>800</v>
      </c>
      <c r="F1680" s="12" t="s">
        <v>799</v>
      </c>
      <c r="G1680" s="55">
        <v>190</v>
      </c>
      <c r="H1680" s="55">
        <v>203</v>
      </c>
      <c r="I1680" s="2" t="b">
        <f t="shared" si="27"/>
        <v>0</v>
      </c>
    </row>
    <row r="1681" spans="2:9" x14ac:dyDescent="0.25">
      <c r="B1681" s="161">
        <v>40997</v>
      </c>
      <c r="C1681" s="12" t="s">
        <v>790</v>
      </c>
      <c r="D1681" s="12" t="s">
        <v>457</v>
      </c>
      <c r="E1681" s="12" t="s">
        <v>487</v>
      </c>
      <c r="F1681" s="12" t="s">
        <v>791</v>
      </c>
      <c r="G1681" s="55">
        <v>4243</v>
      </c>
      <c r="H1681" s="55">
        <v>6238</v>
      </c>
      <c r="I1681" s="2" t="b">
        <f t="shared" si="27"/>
        <v>0</v>
      </c>
    </row>
    <row r="1682" spans="2:9" x14ac:dyDescent="0.25">
      <c r="B1682" s="161">
        <v>41286</v>
      </c>
      <c r="C1682" s="12" t="s">
        <v>805</v>
      </c>
      <c r="D1682" s="12" t="s">
        <v>652</v>
      </c>
      <c r="E1682" s="12" t="s">
        <v>795</v>
      </c>
      <c r="F1682" s="12" t="s">
        <v>796</v>
      </c>
      <c r="G1682" s="55">
        <v>976</v>
      </c>
      <c r="H1682" s="55">
        <v>2636</v>
      </c>
      <c r="I1682" s="2" t="b">
        <f t="shared" si="27"/>
        <v>0</v>
      </c>
    </row>
    <row r="1683" spans="2:9" x14ac:dyDescent="0.25">
      <c r="B1683" s="161">
        <v>41514</v>
      </c>
      <c r="C1683" s="12" t="s">
        <v>805</v>
      </c>
      <c r="D1683" s="12" t="s">
        <v>652</v>
      </c>
      <c r="E1683" s="12" t="s">
        <v>808</v>
      </c>
      <c r="F1683" s="12" t="s">
        <v>796</v>
      </c>
      <c r="G1683" s="55">
        <v>2023</v>
      </c>
      <c r="H1683" s="55">
        <v>2696</v>
      </c>
      <c r="I1683" s="2" t="b">
        <f t="shared" si="27"/>
        <v>0</v>
      </c>
    </row>
    <row r="1684" spans="2:9" x14ac:dyDescent="0.25">
      <c r="B1684" s="161">
        <v>41355</v>
      </c>
      <c r="C1684" s="12" t="s">
        <v>805</v>
      </c>
      <c r="D1684" s="12" t="s">
        <v>801</v>
      </c>
      <c r="E1684" s="12" t="s">
        <v>804</v>
      </c>
      <c r="F1684" s="12" t="s">
        <v>794</v>
      </c>
      <c r="G1684" s="55">
        <v>1372</v>
      </c>
      <c r="H1684" s="55">
        <v>2326</v>
      </c>
      <c r="I1684" s="2" t="b">
        <f t="shared" si="27"/>
        <v>0</v>
      </c>
    </row>
    <row r="1685" spans="2:9" x14ac:dyDescent="0.25">
      <c r="B1685" s="161">
        <v>41532</v>
      </c>
      <c r="C1685" s="12" t="s">
        <v>790</v>
      </c>
      <c r="D1685" s="12" t="s">
        <v>797</v>
      </c>
      <c r="E1685" s="12" t="s">
        <v>793</v>
      </c>
      <c r="F1685" s="12" t="s">
        <v>799</v>
      </c>
      <c r="G1685" s="55">
        <v>5017</v>
      </c>
      <c r="H1685" s="55">
        <v>5701</v>
      </c>
      <c r="I1685" s="2" t="b">
        <f t="shared" si="27"/>
        <v>0</v>
      </c>
    </row>
    <row r="1686" spans="2:9" x14ac:dyDescent="0.25">
      <c r="B1686" s="161">
        <v>41567</v>
      </c>
      <c r="C1686" s="12" t="s">
        <v>805</v>
      </c>
      <c r="D1686" s="12" t="s">
        <v>801</v>
      </c>
      <c r="E1686" s="12" t="s">
        <v>809</v>
      </c>
      <c r="F1686" s="12" t="s">
        <v>799</v>
      </c>
      <c r="G1686" s="55">
        <v>6883</v>
      </c>
      <c r="H1686" s="55">
        <v>7821</v>
      </c>
      <c r="I1686" s="2" t="b">
        <f t="shared" si="27"/>
        <v>0</v>
      </c>
    </row>
    <row r="1687" spans="2:9" x14ac:dyDescent="0.25">
      <c r="B1687" s="161">
        <v>41197</v>
      </c>
      <c r="C1687" s="12" t="s">
        <v>805</v>
      </c>
      <c r="D1687" s="12" t="s">
        <v>801</v>
      </c>
      <c r="E1687" s="12" t="s">
        <v>803</v>
      </c>
      <c r="F1687" s="12" t="s">
        <v>794</v>
      </c>
      <c r="G1687" s="55">
        <v>1510</v>
      </c>
      <c r="H1687" s="55">
        <v>2746</v>
      </c>
      <c r="I1687" s="2" t="b">
        <f t="shared" si="27"/>
        <v>0</v>
      </c>
    </row>
    <row r="1688" spans="2:9" x14ac:dyDescent="0.25">
      <c r="B1688" s="161">
        <v>41072</v>
      </c>
      <c r="C1688" s="12" t="s">
        <v>805</v>
      </c>
      <c r="D1688" s="12" t="s">
        <v>797</v>
      </c>
      <c r="E1688" s="12" t="s">
        <v>803</v>
      </c>
      <c r="F1688" s="12" t="s">
        <v>791</v>
      </c>
      <c r="G1688" s="55">
        <v>3786</v>
      </c>
      <c r="H1688" s="55">
        <v>8806</v>
      </c>
      <c r="I1688" s="2" t="b">
        <f t="shared" si="27"/>
        <v>0</v>
      </c>
    </row>
    <row r="1689" spans="2:9" x14ac:dyDescent="0.25">
      <c r="B1689" s="161">
        <v>41121</v>
      </c>
      <c r="C1689" s="12" t="s">
        <v>805</v>
      </c>
      <c r="D1689" s="12" t="s">
        <v>457</v>
      </c>
      <c r="E1689" s="12" t="s">
        <v>793</v>
      </c>
      <c r="F1689" s="12" t="s">
        <v>791</v>
      </c>
      <c r="G1689" s="55">
        <v>799</v>
      </c>
      <c r="H1689" s="55">
        <v>1856</v>
      </c>
      <c r="I1689" s="2" t="b">
        <f t="shared" si="27"/>
        <v>0</v>
      </c>
    </row>
    <row r="1690" spans="2:9" x14ac:dyDescent="0.25">
      <c r="B1690" s="161">
        <v>41177</v>
      </c>
      <c r="C1690" s="12" t="s">
        <v>790</v>
      </c>
      <c r="D1690" s="12" t="s">
        <v>797</v>
      </c>
      <c r="E1690" s="12" t="s">
        <v>809</v>
      </c>
      <c r="F1690" s="12" t="s">
        <v>799</v>
      </c>
      <c r="G1690" s="55">
        <v>5782</v>
      </c>
      <c r="H1690" s="55">
        <v>7710</v>
      </c>
      <c r="I1690" s="2" t="b">
        <f t="shared" si="27"/>
        <v>0</v>
      </c>
    </row>
    <row r="1691" spans="2:9" x14ac:dyDescent="0.25">
      <c r="B1691" s="161">
        <v>41254</v>
      </c>
      <c r="C1691" s="12" t="s">
        <v>792</v>
      </c>
      <c r="D1691" s="12" t="s">
        <v>652</v>
      </c>
      <c r="E1691" s="12" t="s">
        <v>807</v>
      </c>
      <c r="F1691" s="12" t="s">
        <v>796</v>
      </c>
      <c r="G1691" s="55">
        <v>6586</v>
      </c>
      <c r="H1691" s="55">
        <v>8781</v>
      </c>
      <c r="I1691" s="2" t="b">
        <f t="shared" si="27"/>
        <v>0</v>
      </c>
    </row>
    <row r="1692" spans="2:9" x14ac:dyDescent="0.25">
      <c r="B1692" s="161">
        <v>41516</v>
      </c>
      <c r="C1692" s="12" t="s">
        <v>802</v>
      </c>
      <c r="D1692" s="12" t="s">
        <v>797</v>
      </c>
      <c r="E1692" s="12" t="s">
        <v>809</v>
      </c>
      <c r="F1692" s="12" t="s">
        <v>796</v>
      </c>
      <c r="G1692" s="55">
        <v>746</v>
      </c>
      <c r="H1692" s="55">
        <v>2013</v>
      </c>
      <c r="I1692" s="2" t="b">
        <f t="shared" si="27"/>
        <v>0</v>
      </c>
    </row>
    <row r="1693" spans="2:9" x14ac:dyDescent="0.25">
      <c r="B1693" s="161">
        <v>41100</v>
      </c>
      <c r="C1693" s="12" t="s">
        <v>805</v>
      </c>
      <c r="D1693" s="12" t="s">
        <v>457</v>
      </c>
      <c r="E1693" s="12" t="s">
        <v>804</v>
      </c>
      <c r="F1693" s="12" t="s">
        <v>794</v>
      </c>
      <c r="G1693" s="55">
        <v>4943</v>
      </c>
      <c r="H1693" s="55">
        <v>8986</v>
      </c>
      <c r="I1693" s="2" t="b">
        <f t="shared" si="27"/>
        <v>0</v>
      </c>
    </row>
    <row r="1694" spans="2:9" x14ac:dyDescent="0.25">
      <c r="B1694" s="161">
        <v>41160</v>
      </c>
      <c r="C1694" s="12" t="s">
        <v>792</v>
      </c>
      <c r="D1694" s="12" t="s">
        <v>801</v>
      </c>
      <c r="E1694" s="12" t="s">
        <v>808</v>
      </c>
      <c r="F1694" s="12" t="s">
        <v>799</v>
      </c>
      <c r="G1694" s="55">
        <v>4463</v>
      </c>
      <c r="H1694" s="55">
        <v>7566</v>
      </c>
      <c r="I1694" s="2" t="b">
        <f t="shared" si="27"/>
        <v>0</v>
      </c>
    </row>
    <row r="1695" spans="2:9" x14ac:dyDescent="0.25">
      <c r="B1695" s="161">
        <v>40924</v>
      </c>
      <c r="C1695" s="12" t="s">
        <v>805</v>
      </c>
      <c r="D1695" s="12" t="s">
        <v>801</v>
      </c>
      <c r="E1695" s="12" t="s">
        <v>793</v>
      </c>
      <c r="F1695" s="12" t="s">
        <v>796</v>
      </c>
      <c r="G1695" s="55">
        <v>2476</v>
      </c>
      <c r="H1695" s="55">
        <v>5760</v>
      </c>
      <c r="I1695" s="2" t="b">
        <f t="shared" si="27"/>
        <v>0</v>
      </c>
    </row>
    <row r="1696" spans="2:9" x14ac:dyDescent="0.25">
      <c r="B1696" s="161">
        <v>41284</v>
      </c>
      <c r="C1696" s="12" t="s">
        <v>805</v>
      </c>
      <c r="D1696" s="12" t="s">
        <v>801</v>
      </c>
      <c r="E1696" s="12" t="s">
        <v>808</v>
      </c>
      <c r="F1696" s="12" t="s">
        <v>794</v>
      </c>
      <c r="G1696" s="55">
        <v>4786</v>
      </c>
      <c r="H1696" s="55">
        <v>8701</v>
      </c>
      <c r="I1696" s="2" t="b">
        <f t="shared" si="27"/>
        <v>0</v>
      </c>
    </row>
    <row r="1697" spans="2:9" x14ac:dyDescent="0.25">
      <c r="B1697" s="161">
        <v>41169</v>
      </c>
      <c r="C1697" s="12" t="s">
        <v>805</v>
      </c>
      <c r="D1697" s="12" t="s">
        <v>797</v>
      </c>
      <c r="E1697" s="12" t="s">
        <v>793</v>
      </c>
      <c r="F1697" s="12" t="s">
        <v>796</v>
      </c>
      <c r="G1697" s="55">
        <v>2852</v>
      </c>
      <c r="H1697" s="55">
        <v>5187</v>
      </c>
      <c r="I1697" s="2" t="b">
        <f t="shared" si="27"/>
        <v>0</v>
      </c>
    </row>
    <row r="1698" spans="2:9" x14ac:dyDescent="0.25">
      <c r="B1698" s="161">
        <v>41112</v>
      </c>
      <c r="C1698" s="12" t="s">
        <v>802</v>
      </c>
      <c r="D1698" s="12" t="s">
        <v>457</v>
      </c>
      <c r="E1698" s="12" t="s">
        <v>487</v>
      </c>
      <c r="F1698" s="12" t="s">
        <v>791</v>
      </c>
      <c r="G1698" s="55">
        <v>1928</v>
      </c>
      <c r="H1698" s="55">
        <v>3266</v>
      </c>
      <c r="I1698" s="2" t="b">
        <f t="shared" si="27"/>
        <v>0</v>
      </c>
    </row>
    <row r="1699" spans="2:9" x14ac:dyDescent="0.25">
      <c r="B1699" s="161">
        <v>41564</v>
      </c>
      <c r="C1699" s="12" t="s">
        <v>790</v>
      </c>
      <c r="D1699" s="12" t="s">
        <v>457</v>
      </c>
      <c r="E1699" s="12" t="s">
        <v>793</v>
      </c>
      <c r="F1699" s="12" t="s">
        <v>799</v>
      </c>
      <c r="G1699" s="55">
        <v>5730</v>
      </c>
      <c r="H1699" s="55">
        <v>7641</v>
      </c>
      <c r="I1699" s="2" t="b">
        <f t="shared" si="27"/>
        <v>0</v>
      </c>
    </row>
    <row r="1700" spans="2:9" x14ac:dyDescent="0.25">
      <c r="B1700" s="161">
        <v>41587</v>
      </c>
      <c r="C1700" s="12" t="s">
        <v>792</v>
      </c>
      <c r="D1700" s="12" t="s">
        <v>457</v>
      </c>
      <c r="E1700" s="12" t="s">
        <v>803</v>
      </c>
      <c r="F1700" s="12" t="s">
        <v>791</v>
      </c>
      <c r="G1700" s="55">
        <v>3705</v>
      </c>
      <c r="H1700" s="55">
        <v>4941</v>
      </c>
      <c r="I1700" s="2" t="b">
        <f t="shared" si="27"/>
        <v>0</v>
      </c>
    </row>
    <row r="1701" spans="2:9" x14ac:dyDescent="0.25">
      <c r="B1701" s="161">
        <v>41380</v>
      </c>
      <c r="C1701" s="12" t="s">
        <v>805</v>
      </c>
      <c r="D1701" s="12" t="s">
        <v>457</v>
      </c>
      <c r="E1701" s="12" t="s">
        <v>807</v>
      </c>
      <c r="F1701" s="12" t="s">
        <v>794</v>
      </c>
      <c r="G1701" s="55">
        <v>6990</v>
      </c>
      <c r="H1701" s="55">
        <v>7943</v>
      </c>
      <c r="I1701" s="2" t="b">
        <f t="shared" si="27"/>
        <v>0</v>
      </c>
    </row>
    <row r="1702" spans="2:9" x14ac:dyDescent="0.25">
      <c r="B1702" s="161">
        <v>41466</v>
      </c>
      <c r="C1702" s="12" t="s">
        <v>790</v>
      </c>
      <c r="D1702" s="12" t="s">
        <v>797</v>
      </c>
      <c r="E1702" s="12" t="s">
        <v>803</v>
      </c>
      <c r="F1702" s="12" t="s">
        <v>794</v>
      </c>
      <c r="G1702" s="55">
        <v>5097</v>
      </c>
      <c r="H1702" s="55">
        <v>8639</v>
      </c>
      <c r="I1702" s="2" t="b">
        <f t="shared" si="27"/>
        <v>0</v>
      </c>
    </row>
    <row r="1703" spans="2:9" x14ac:dyDescent="0.25">
      <c r="B1703" s="161">
        <v>40989</v>
      </c>
      <c r="C1703" s="12" t="s">
        <v>802</v>
      </c>
      <c r="D1703" s="12" t="s">
        <v>797</v>
      </c>
      <c r="E1703" s="12" t="s">
        <v>809</v>
      </c>
      <c r="F1703" s="12" t="s">
        <v>794</v>
      </c>
      <c r="G1703" s="55">
        <v>3281</v>
      </c>
      <c r="H1703" s="55">
        <v>5561</v>
      </c>
      <c r="I1703" s="2" t="b">
        <f t="shared" si="27"/>
        <v>0</v>
      </c>
    </row>
    <row r="1704" spans="2:9" x14ac:dyDescent="0.25">
      <c r="B1704" s="161">
        <v>41185</v>
      </c>
      <c r="C1704" s="12" t="s">
        <v>805</v>
      </c>
      <c r="D1704" s="12" t="s">
        <v>652</v>
      </c>
      <c r="E1704" s="12" t="s">
        <v>795</v>
      </c>
      <c r="F1704" s="12" t="s">
        <v>794</v>
      </c>
      <c r="G1704" s="55">
        <v>975</v>
      </c>
      <c r="H1704" s="55">
        <v>2268</v>
      </c>
      <c r="I1704" s="2" t="b">
        <f t="shared" si="27"/>
        <v>0</v>
      </c>
    </row>
    <row r="1705" spans="2:9" x14ac:dyDescent="0.25">
      <c r="B1705" s="161">
        <v>41488</v>
      </c>
      <c r="C1705" s="12" t="s">
        <v>790</v>
      </c>
      <c r="D1705" s="12" t="s">
        <v>801</v>
      </c>
      <c r="E1705" s="12" t="s">
        <v>795</v>
      </c>
      <c r="F1705" s="12" t="s">
        <v>796</v>
      </c>
      <c r="G1705" s="55">
        <v>4365</v>
      </c>
      <c r="H1705" s="55">
        <v>4668</v>
      </c>
      <c r="I1705" s="2" t="b">
        <f t="shared" si="27"/>
        <v>0</v>
      </c>
    </row>
    <row r="1706" spans="2:9" x14ac:dyDescent="0.25">
      <c r="B1706" s="161">
        <v>41302</v>
      </c>
      <c r="C1706" s="12" t="s">
        <v>802</v>
      </c>
      <c r="D1706" s="12" t="s">
        <v>652</v>
      </c>
      <c r="E1706" s="12" t="s">
        <v>487</v>
      </c>
      <c r="F1706" s="12" t="s">
        <v>796</v>
      </c>
      <c r="G1706" s="55">
        <v>6514</v>
      </c>
      <c r="H1706" s="55">
        <v>8685</v>
      </c>
      <c r="I1706" s="2" t="b">
        <f t="shared" si="27"/>
        <v>0</v>
      </c>
    </row>
    <row r="1707" spans="2:9" x14ac:dyDescent="0.25">
      <c r="B1707" s="161">
        <v>41627</v>
      </c>
      <c r="C1707" s="12" t="s">
        <v>805</v>
      </c>
      <c r="D1707" s="12" t="s">
        <v>801</v>
      </c>
      <c r="E1707" s="12" t="s">
        <v>798</v>
      </c>
      <c r="F1707" s="12" t="s">
        <v>794</v>
      </c>
      <c r="G1707" s="55">
        <v>3907</v>
      </c>
      <c r="H1707" s="55">
        <v>8681</v>
      </c>
      <c r="I1707" s="2" t="b">
        <f t="shared" si="27"/>
        <v>0</v>
      </c>
    </row>
    <row r="1708" spans="2:9" x14ac:dyDescent="0.25">
      <c r="B1708" s="161">
        <v>40951</v>
      </c>
      <c r="C1708" s="12" t="s">
        <v>805</v>
      </c>
      <c r="D1708" s="12" t="s">
        <v>457</v>
      </c>
      <c r="E1708" s="12" t="s">
        <v>806</v>
      </c>
      <c r="F1708" s="12" t="s">
        <v>799</v>
      </c>
      <c r="G1708" s="55">
        <v>5927</v>
      </c>
      <c r="H1708" s="55">
        <v>7902</v>
      </c>
      <c r="I1708" s="2" t="b">
        <f t="shared" si="27"/>
        <v>0</v>
      </c>
    </row>
    <row r="1709" spans="2:9" x14ac:dyDescent="0.25">
      <c r="B1709" s="161">
        <v>40959</v>
      </c>
      <c r="C1709" s="12" t="s">
        <v>802</v>
      </c>
      <c r="D1709" s="12" t="s">
        <v>801</v>
      </c>
      <c r="E1709" s="12" t="s">
        <v>793</v>
      </c>
      <c r="F1709" s="12" t="s">
        <v>794</v>
      </c>
      <c r="G1709" s="55">
        <v>1280</v>
      </c>
      <c r="H1709" s="55">
        <v>2325</v>
      </c>
      <c r="I1709" s="2" t="b">
        <f t="shared" si="27"/>
        <v>0</v>
      </c>
    </row>
    <row r="1710" spans="2:9" x14ac:dyDescent="0.25">
      <c r="B1710" s="161">
        <v>41176</v>
      </c>
      <c r="C1710" s="12" t="s">
        <v>805</v>
      </c>
      <c r="D1710" s="12" t="s">
        <v>457</v>
      </c>
      <c r="E1710" s="12" t="s">
        <v>795</v>
      </c>
      <c r="F1710" s="12" t="s">
        <v>796</v>
      </c>
      <c r="G1710" s="55">
        <v>3337</v>
      </c>
      <c r="H1710" s="55">
        <v>4450</v>
      </c>
      <c r="I1710" s="2" t="b">
        <f t="shared" si="27"/>
        <v>0</v>
      </c>
    </row>
    <row r="1711" spans="2:9" x14ac:dyDescent="0.25">
      <c r="B1711" s="161">
        <v>41028</v>
      </c>
      <c r="C1711" s="12" t="s">
        <v>790</v>
      </c>
      <c r="D1711" s="12" t="s">
        <v>801</v>
      </c>
      <c r="E1711" s="12" t="s">
        <v>809</v>
      </c>
      <c r="F1711" s="12" t="s">
        <v>791</v>
      </c>
      <c r="G1711" s="55">
        <v>3197</v>
      </c>
      <c r="H1711" s="55">
        <v>5512</v>
      </c>
      <c r="I1711" s="2" t="b">
        <f t="shared" si="27"/>
        <v>0</v>
      </c>
    </row>
    <row r="1712" spans="2:9" x14ac:dyDescent="0.25">
      <c r="B1712" s="161">
        <v>41042</v>
      </c>
      <c r="C1712" s="12" t="s">
        <v>790</v>
      </c>
      <c r="D1712" s="12" t="s">
        <v>652</v>
      </c>
      <c r="E1712" s="12" t="s">
        <v>808</v>
      </c>
      <c r="F1712" s="12" t="s">
        <v>791</v>
      </c>
      <c r="G1712" s="55">
        <v>2078</v>
      </c>
      <c r="H1712" s="55">
        <v>4616</v>
      </c>
      <c r="I1712" s="2" t="b">
        <f t="shared" si="27"/>
        <v>0</v>
      </c>
    </row>
    <row r="1713" spans="2:9" x14ac:dyDescent="0.25">
      <c r="B1713" s="161">
        <v>41347</v>
      </c>
      <c r="C1713" s="12" t="s">
        <v>805</v>
      </c>
      <c r="D1713" s="12" t="s">
        <v>801</v>
      </c>
      <c r="E1713" s="12" t="s">
        <v>807</v>
      </c>
      <c r="F1713" s="12" t="s">
        <v>794</v>
      </c>
      <c r="G1713" s="55">
        <v>5526</v>
      </c>
      <c r="H1713" s="55">
        <v>9528</v>
      </c>
      <c r="I1713" s="2" t="b">
        <f t="shared" si="27"/>
        <v>0</v>
      </c>
    </row>
    <row r="1714" spans="2:9" x14ac:dyDescent="0.25">
      <c r="B1714" s="161">
        <v>41634</v>
      </c>
      <c r="C1714" s="12" t="s">
        <v>802</v>
      </c>
      <c r="D1714" s="12" t="s">
        <v>801</v>
      </c>
      <c r="E1714" s="12" t="s">
        <v>793</v>
      </c>
      <c r="F1714" s="12" t="s">
        <v>794</v>
      </c>
      <c r="G1714" s="55">
        <v>4914</v>
      </c>
      <c r="H1714" s="55">
        <v>5584</v>
      </c>
      <c r="I1714" s="2" t="b">
        <f t="shared" si="27"/>
        <v>0</v>
      </c>
    </row>
    <row r="1715" spans="2:9" x14ac:dyDescent="0.25">
      <c r="B1715" s="161">
        <v>40953</v>
      </c>
      <c r="C1715" s="12" t="s">
        <v>802</v>
      </c>
      <c r="D1715" s="12" t="s">
        <v>457</v>
      </c>
      <c r="E1715" s="12" t="s">
        <v>800</v>
      </c>
      <c r="F1715" s="12" t="s">
        <v>791</v>
      </c>
      <c r="G1715" s="55">
        <v>7540</v>
      </c>
      <c r="H1715" s="55">
        <v>8065</v>
      </c>
      <c r="I1715" s="2" t="b">
        <f t="shared" si="27"/>
        <v>0</v>
      </c>
    </row>
    <row r="1716" spans="2:9" x14ac:dyDescent="0.25">
      <c r="B1716" s="161">
        <v>41041</v>
      </c>
      <c r="C1716" s="12" t="s">
        <v>802</v>
      </c>
      <c r="D1716" s="12" t="s">
        <v>797</v>
      </c>
      <c r="E1716" s="12" t="s">
        <v>809</v>
      </c>
      <c r="F1716" s="12" t="s">
        <v>791</v>
      </c>
      <c r="G1716" s="55">
        <v>1123</v>
      </c>
      <c r="H1716" s="55">
        <v>1902</v>
      </c>
      <c r="I1716" s="2" t="b">
        <f t="shared" si="27"/>
        <v>0</v>
      </c>
    </row>
    <row r="1717" spans="2:9" x14ac:dyDescent="0.25">
      <c r="B1717" s="161">
        <v>41432</v>
      </c>
      <c r="C1717" s="12" t="s">
        <v>805</v>
      </c>
      <c r="D1717" s="12" t="s">
        <v>797</v>
      </c>
      <c r="E1717" s="12" t="s">
        <v>795</v>
      </c>
      <c r="F1717" s="12" t="s">
        <v>794</v>
      </c>
      <c r="G1717" s="55">
        <v>3085</v>
      </c>
      <c r="H1717" s="55">
        <v>5228</v>
      </c>
      <c r="I1717" s="2" t="b">
        <f t="shared" si="27"/>
        <v>0</v>
      </c>
    </row>
    <row r="1718" spans="2:9" x14ac:dyDescent="0.25">
      <c r="B1718" s="161">
        <v>41452</v>
      </c>
      <c r="C1718" s="12" t="s">
        <v>802</v>
      </c>
      <c r="D1718" s="12" t="s">
        <v>652</v>
      </c>
      <c r="E1718" s="12" t="s">
        <v>795</v>
      </c>
      <c r="F1718" s="12" t="s">
        <v>799</v>
      </c>
      <c r="G1718" s="55">
        <v>1648</v>
      </c>
      <c r="H1718" s="55">
        <v>1762</v>
      </c>
      <c r="I1718" s="2" t="b">
        <f t="shared" si="27"/>
        <v>0</v>
      </c>
    </row>
    <row r="1719" spans="2:9" x14ac:dyDescent="0.25">
      <c r="B1719" s="161">
        <v>41285</v>
      </c>
      <c r="C1719" s="12" t="s">
        <v>790</v>
      </c>
      <c r="D1719" s="12" t="s">
        <v>797</v>
      </c>
      <c r="E1719" s="12" t="s">
        <v>804</v>
      </c>
      <c r="F1719" s="12" t="s">
        <v>799</v>
      </c>
      <c r="G1719" s="55">
        <v>3164</v>
      </c>
      <c r="H1719" s="55">
        <v>4219</v>
      </c>
      <c r="I1719" s="2" t="b">
        <f t="shared" si="27"/>
        <v>0</v>
      </c>
    </row>
    <row r="1720" spans="2:9" x14ac:dyDescent="0.25">
      <c r="B1720" s="161">
        <v>41306</v>
      </c>
      <c r="C1720" s="12" t="s">
        <v>802</v>
      </c>
      <c r="D1720" s="12" t="s">
        <v>652</v>
      </c>
      <c r="E1720" s="12" t="s">
        <v>808</v>
      </c>
      <c r="F1720" s="12" t="s">
        <v>799</v>
      </c>
      <c r="G1720" s="55">
        <v>1761</v>
      </c>
      <c r="H1720" s="55">
        <v>1883</v>
      </c>
      <c r="I1720" s="2" t="b">
        <f t="shared" si="27"/>
        <v>0</v>
      </c>
    </row>
    <row r="1721" spans="2:9" x14ac:dyDescent="0.25">
      <c r="B1721" s="161">
        <v>41181</v>
      </c>
      <c r="C1721" s="12" t="s">
        <v>805</v>
      </c>
      <c r="D1721" s="12" t="s">
        <v>457</v>
      </c>
      <c r="E1721" s="12" t="s">
        <v>804</v>
      </c>
      <c r="F1721" s="12" t="s">
        <v>794</v>
      </c>
      <c r="G1721" s="55">
        <v>4855</v>
      </c>
      <c r="H1721" s="55">
        <v>8371</v>
      </c>
      <c r="I1721" s="2" t="b">
        <f t="shared" si="27"/>
        <v>0</v>
      </c>
    </row>
    <row r="1722" spans="2:9" x14ac:dyDescent="0.25">
      <c r="B1722" s="161">
        <v>41260</v>
      </c>
      <c r="C1722" s="12" t="s">
        <v>805</v>
      </c>
      <c r="D1722" s="12" t="s">
        <v>457</v>
      </c>
      <c r="E1722" s="12" t="s">
        <v>807</v>
      </c>
      <c r="F1722" s="12" t="s">
        <v>791</v>
      </c>
      <c r="G1722" s="55">
        <v>3824</v>
      </c>
      <c r="H1722" s="55">
        <v>6480</v>
      </c>
      <c r="I1722" s="2" t="b">
        <f t="shared" si="27"/>
        <v>0</v>
      </c>
    </row>
    <row r="1723" spans="2:9" x14ac:dyDescent="0.25">
      <c r="B1723" s="161">
        <v>41519</v>
      </c>
      <c r="C1723" s="12" t="s">
        <v>792</v>
      </c>
      <c r="D1723" s="12" t="s">
        <v>801</v>
      </c>
      <c r="E1723" s="12" t="s">
        <v>809</v>
      </c>
      <c r="F1723" s="12" t="s">
        <v>791</v>
      </c>
      <c r="G1723" s="55">
        <v>4414</v>
      </c>
      <c r="H1723" s="55">
        <v>8024</v>
      </c>
      <c r="I1723" s="2" t="b">
        <f t="shared" si="27"/>
        <v>0</v>
      </c>
    </row>
    <row r="1724" spans="2:9" x14ac:dyDescent="0.25">
      <c r="B1724" s="161">
        <v>40974</v>
      </c>
      <c r="C1724" s="12" t="s">
        <v>792</v>
      </c>
      <c r="D1724" s="12" t="s">
        <v>652</v>
      </c>
      <c r="E1724" s="12" t="s">
        <v>798</v>
      </c>
      <c r="F1724" s="12" t="s">
        <v>799</v>
      </c>
      <c r="G1724" s="55">
        <v>2567</v>
      </c>
      <c r="H1724" s="55">
        <v>5705</v>
      </c>
      <c r="I1724" s="2" t="b">
        <f t="shared" si="27"/>
        <v>0</v>
      </c>
    </row>
    <row r="1725" spans="2:9" x14ac:dyDescent="0.25">
      <c r="B1725" s="161">
        <v>41134</v>
      </c>
      <c r="C1725" s="12" t="s">
        <v>792</v>
      </c>
      <c r="D1725" s="12" t="s">
        <v>801</v>
      </c>
      <c r="E1725" s="12" t="s">
        <v>803</v>
      </c>
      <c r="F1725" s="12" t="s">
        <v>796</v>
      </c>
      <c r="G1725" s="55">
        <v>1056</v>
      </c>
      <c r="H1725" s="55">
        <v>2454</v>
      </c>
      <c r="I1725" s="2" t="b">
        <f t="shared" si="27"/>
        <v>0</v>
      </c>
    </row>
    <row r="1726" spans="2:9" x14ac:dyDescent="0.25">
      <c r="B1726" s="161">
        <v>41374</v>
      </c>
      <c r="C1726" s="12" t="s">
        <v>802</v>
      </c>
      <c r="D1726" s="12" t="s">
        <v>801</v>
      </c>
      <c r="E1726" s="12" t="s">
        <v>807</v>
      </c>
      <c r="F1726" s="12" t="s">
        <v>796</v>
      </c>
      <c r="G1726" s="55">
        <v>8220</v>
      </c>
      <c r="H1726" s="55">
        <v>9342</v>
      </c>
      <c r="I1726" s="2" t="b">
        <f t="shared" si="27"/>
        <v>0</v>
      </c>
    </row>
    <row r="1727" spans="2:9" x14ac:dyDescent="0.25">
      <c r="B1727" s="161">
        <v>41587</v>
      </c>
      <c r="C1727" s="12" t="s">
        <v>792</v>
      </c>
      <c r="D1727" s="12" t="s">
        <v>457</v>
      </c>
      <c r="E1727" s="12" t="s">
        <v>607</v>
      </c>
      <c r="F1727" s="12" t="s">
        <v>796</v>
      </c>
      <c r="G1727" s="55">
        <v>128</v>
      </c>
      <c r="H1727" s="55">
        <v>144</v>
      </c>
      <c r="I1727" s="2" t="b">
        <f t="shared" si="27"/>
        <v>0</v>
      </c>
    </row>
    <row r="1728" spans="2:9" x14ac:dyDescent="0.25">
      <c r="B1728" s="161">
        <v>41179</v>
      </c>
      <c r="C1728" s="12" t="s">
        <v>802</v>
      </c>
      <c r="D1728" s="12" t="s">
        <v>652</v>
      </c>
      <c r="E1728" s="12" t="s">
        <v>487</v>
      </c>
      <c r="F1728" s="12" t="s">
        <v>796</v>
      </c>
      <c r="G1728" s="55">
        <v>2648</v>
      </c>
      <c r="H1728" s="55">
        <v>3896</v>
      </c>
      <c r="I1728" s="2" t="b">
        <f t="shared" si="27"/>
        <v>0</v>
      </c>
    </row>
    <row r="1729" spans="2:9" x14ac:dyDescent="0.25">
      <c r="B1729" s="161">
        <v>41303</v>
      </c>
      <c r="C1729" s="12" t="s">
        <v>802</v>
      </c>
      <c r="D1729" s="12" t="s">
        <v>457</v>
      </c>
      <c r="E1729" s="12" t="s">
        <v>487</v>
      </c>
      <c r="F1729" s="12" t="s">
        <v>799</v>
      </c>
      <c r="G1729" s="55">
        <v>2811</v>
      </c>
      <c r="H1729" s="55">
        <v>3006</v>
      </c>
      <c r="I1729" s="2" t="b">
        <f t="shared" si="27"/>
        <v>0</v>
      </c>
    </row>
    <row r="1730" spans="2:9" x14ac:dyDescent="0.25">
      <c r="B1730" s="161">
        <v>41549</v>
      </c>
      <c r="C1730" s="12" t="s">
        <v>802</v>
      </c>
      <c r="D1730" s="12" t="s">
        <v>457</v>
      </c>
      <c r="E1730" s="12" t="s">
        <v>804</v>
      </c>
      <c r="F1730" s="12" t="s">
        <v>791</v>
      </c>
      <c r="G1730" s="55">
        <v>97</v>
      </c>
      <c r="H1730" s="55">
        <v>144</v>
      </c>
      <c r="I1730" s="2" t="b">
        <f t="shared" si="27"/>
        <v>0</v>
      </c>
    </row>
    <row r="1731" spans="2:9" x14ac:dyDescent="0.25">
      <c r="B1731" s="161">
        <v>41251</v>
      </c>
      <c r="C1731" s="12" t="s">
        <v>790</v>
      </c>
      <c r="D1731" s="12" t="s">
        <v>652</v>
      </c>
      <c r="E1731" s="12" t="s">
        <v>793</v>
      </c>
      <c r="F1731" s="12" t="s">
        <v>794</v>
      </c>
      <c r="G1731" s="55">
        <v>5489</v>
      </c>
      <c r="H1731" s="55">
        <v>9303</v>
      </c>
      <c r="I1731" s="2" t="b">
        <f t="shared" si="27"/>
        <v>0</v>
      </c>
    </row>
    <row r="1732" spans="2:9" x14ac:dyDescent="0.25">
      <c r="B1732" s="161">
        <v>41480</v>
      </c>
      <c r="C1732" s="12" t="s">
        <v>790</v>
      </c>
      <c r="D1732" s="12" t="s">
        <v>797</v>
      </c>
      <c r="E1732" s="12" t="s">
        <v>807</v>
      </c>
      <c r="F1732" s="12" t="s">
        <v>794</v>
      </c>
      <c r="G1732" s="55">
        <v>6673</v>
      </c>
      <c r="H1732" s="55">
        <v>7583</v>
      </c>
      <c r="I1732" s="2" t="b">
        <f t="shared" si="27"/>
        <v>0</v>
      </c>
    </row>
    <row r="1733" spans="2:9" x14ac:dyDescent="0.25">
      <c r="B1733" s="161">
        <v>41113</v>
      </c>
      <c r="C1733" s="12" t="s">
        <v>805</v>
      </c>
      <c r="D1733" s="12" t="s">
        <v>801</v>
      </c>
      <c r="E1733" s="12" t="s">
        <v>806</v>
      </c>
      <c r="F1733" s="12" t="s">
        <v>796</v>
      </c>
      <c r="G1733" s="55">
        <v>4591</v>
      </c>
      <c r="H1733" s="55">
        <v>7916</v>
      </c>
      <c r="I1733" s="2" t="b">
        <f t="shared" si="27"/>
        <v>0</v>
      </c>
    </row>
    <row r="1734" spans="2:9" x14ac:dyDescent="0.25">
      <c r="B1734" s="161">
        <v>41422</v>
      </c>
      <c r="C1734" s="12" t="s">
        <v>792</v>
      </c>
      <c r="D1734" s="12" t="s">
        <v>457</v>
      </c>
      <c r="E1734" s="12" t="s">
        <v>803</v>
      </c>
      <c r="F1734" s="12" t="s">
        <v>794</v>
      </c>
      <c r="G1734" s="55">
        <v>1682</v>
      </c>
      <c r="H1734" s="55">
        <v>3737</v>
      </c>
      <c r="I1734" s="2" t="b">
        <f t="shared" si="27"/>
        <v>1</v>
      </c>
    </row>
    <row r="1735" spans="2:9" x14ac:dyDescent="0.25">
      <c r="B1735" s="161">
        <v>41484</v>
      </c>
      <c r="C1735" s="12" t="s">
        <v>792</v>
      </c>
      <c r="D1735" s="12" t="s">
        <v>801</v>
      </c>
      <c r="E1735" s="12" t="s">
        <v>807</v>
      </c>
      <c r="F1735" s="12" t="s">
        <v>796</v>
      </c>
      <c r="G1735" s="55">
        <v>3961</v>
      </c>
      <c r="H1735" s="55">
        <v>6715</v>
      </c>
      <c r="I1735" s="2" t="b">
        <f t="shared" ref="I1735:I1798" si="28">AND($K$9=C1735,$L$9=D1735,$M$9=F1735)</f>
        <v>0</v>
      </c>
    </row>
    <row r="1736" spans="2:9" x14ac:dyDescent="0.25">
      <c r="B1736" s="161">
        <v>41496</v>
      </c>
      <c r="C1736" s="12" t="s">
        <v>805</v>
      </c>
      <c r="D1736" s="12" t="s">
        <v>652</v>
      </c>
      <c r="E1736" s="12" t="s">
        <v>808</v>
      </c>
      <c r="F1736" s="12" t="s">
        <v>799</v>
      </c>
      <c r="G1736" s="55">
        <v>5712</v>
      </c>
      <c r="H1736" s="55">
        <v>9847</v>
      </c>
      <c r="I1736" s="2" t="b">
        <f t="shared" si="28"/>
        <v>0</v>
      </c>
    </row>
    <row r="1737" spans="2:9" x14ac:dyDescent="0.25">
      <c r="B1737" s="161">
        <v>41553</v>
      </c>
      <c r="C1737" s="12" t="s">
        <v>792</v>
      </c>
      <c r="D1737" s="12" t="s">
        <v>457</v>
      </c>
      <c r="E1737" s="12" t="s">
        <v>808</v>
      </c>
      <c r="F1737" s="12" t="s">
        <v>799</v>
      </c>
      <c r="G1737" s="55">
        <v>982</v>
      </c>
      <c r="H1737" s="55">
        <v>2653</v>
      </c>
      <c r="I1737" s="2" t="b">
        <f t="shared" si="28"/>
        <v>0</v>
      </c>
    </row>
    <row r="1738" spans="2:9" x14ac:dyDescent="0.25">
      <c r="B1738" s="161">
        <v>41630</v>
      </c>
      <c r="C1738" s="12" t="s">
        <v>790</v>
      </c>
      <c r="D1738" s="12" t="s">
        <v>801</v>
      </c>
      <c r="E1738" s="12" t="s">
        <v>804</v>
      </c>
      <c r="F1738" s="12" t="s">
        <v>799</v>
      </c>
      <c r="G1738" s="55">
        <v>3727</v>
      </c>
      <c r="H1738" s="55">
        <v>3988</v>
      </c>
      <c r="I1738" s="2" t="b">
        <f t="shared" si="28"/>
        <v>0</v>
      </c>
    </row>
    <row r="1739" spans="2:9" x14ac:dyDescent="0.25">
      <c r="B1739" s="161">
        <v>41559</v>
      </c>
      <c r="C1739" s="12" t="s">
        <v>805</v>
      </c>
      <c r="D1739" s="12" t="s">
        <v>652</v>
      </c>
      <c r="E1739" s="12" t="s">
        <v>793</v>
      </c>
      <c r="F1739" s="12" t="s">
        <v>791</v>
      </c>
      <c r="G1739" s="55">
        <v>5601</v>
      </c>
      <c r="H1739" s="55">
        <v>9492</v>
      </c>
      <c r="I1739" s="2" t="b">
        <f t="shared" si="28"/>
        <v>0</v>
      </c>
    </row>
    <row r="1740" spans="2:9" x14ac:dyDescent="0.25">
      <c r="B1740" s="161">
        <v>41116</v>
      </c>
      <c r="C1740" s="12" t="s">
        <v>802</v>
      </c>
      <c r="D1740" s="12" t="s">
        <v>457</v>
      </c>
      <c r="E1740" s="12" t="s">
        <v>795</v>
      </c>
      <c r="F1740" s="12" t="s">
        <v>796</v>
      </c>
      <c r="G1740" s="55">
        <v>944</v>
      </c>
      <c r="H1740" s="55">
        <v>1601</v>
      </c>
      <c r="I1740" s="2" t="b">
        <f t="shared" si="28"/>
        <v>0</v>
      </c>
    </row>
    <row r="1741" spans="2:9" x14ac:dyDescent="0.25">
      <c r="B1741" s="161">
        <v>40994</v>
      </c>
      <c r="C1741" s="12" t="s">
        <v>790</v>
      </c>
      <c r="D1741" s="12" t="s">
        <v>797</v>
      </c>
      <c r="E1741" s="12" t="s">
        <v>808</v>
      </c>
      <c r="F1741" s="12" t="s">
        <v>791</v>
      </c>
      <c r="G1741" s="55">
        <v>2736</v>
      </c>
      <c r="H1741" s="55">
        <v>4639</v>
      </c>
      <c r="I1741" s="2" t="b">
        <f t="shared" si="28"/>
        <v>0</v>
      </c>
    </row>
    <row r="1742" spans="2:9" x14ac:dyDescent="0.25">
      <c r="B1742" s="161">
        <v>41349</v>
      </c>
      <c r="C1742" s="12" t="s">
        <v>802</v>
      </c>
      <c r="D1742" s="12" t="s">
        <v>457</v>
      </c>
      <c r="E1742" s="12" t="s">
        <v>803</v>
      </c>
      <c r="F1742" s="12" t="s">
        <v>791</v>
      </c>
      <c r="G1742" s="55">
        <v>4364</v>
      </c>
      <c r="H1742" s="55">
        <v>7395</v>
      </c>
      <c r="I1742" s="2" t="b">
        <f t="shared" si="28"/>
        <v>0</v>
      </c>
    </row>
    <row r="1743" spans="2:9" x14ac:dyDescent="0.25">
      <c r="B1743" s="161">
        <v>41198</v>
      </c>
      <c r="C1743" s="12" t="s">
        <v>792</v>
      </c>
      <c r="D1743" s="12" t="s">
        <v>652</v>
      </c>
      <c r="E1743" s="12" t="s">
        <v>803</v>
      </c>
      <c r="F1743" s="12" t="s">
        <v>794</v>
      </c>
      <c r="G1743" s="55">
        <v>5138</v>
      </c>
      <c r="H1743" s="55">
        <v>7555</v>
      </c>
      <c r="I1743" s="2" t="b">
        <f t="shared" si="28"/>
        <v>0</v>
      </c>
    </row>
    <row r="1744" spans="2:9" x14ac:dyDescent="0.25">
      <c r="B1744" s="161">
        <v>41110</v>
      </c>
      <c r="C1744" s="12" t="s">
        <v>792</v>
      </c>
      <c r="D1744" s="12" t="s">
        <v>457</v>
      </c>
      <c r="E1744" s="12" t="s">
        <v>804</v>
      </c>
      <c r="F1744" s="12" t="s">
        <v>799</v>
      </c>
      <c r="G1744" s="55">
        <v>4412</v>
      </c>
      <c r="H1744" s="55">
        <v>7476</v>
      </c>
      <c r="I1744" s="2" t="b">
        <f t="shared" si="28"/>
        <v>0</v>
      </c>
    </row>
    <row r="1745" spans="2:9" x14ac:dyDescent="0.25">
      <c r="B1745" s="161">
        <v>41099</v>
      </c>
      <c r="C1745" s="12" t="s">
        <v>805</v>
      </c>
      <c r="D1745" s="12" t="s">
        <v>797</v>
      </c>
      <c r="E1745" s="12" t="s">
        <v>803</v>
      </c>
      <c r="F1745" s="12" t="s">
        <v>799</v>
      </c>
      <c r="G1745" s="55">
        <v>2437</v>
      </c>
      <c r="H1745" s="55">
        <v>6588</v>
      </c>
      <c r="I1745" s="2" t="b">
        <f t="shared" si="28"/>
        <v>0</v>
      </c>
    </row>
    <row r="1746" spans="2:9" x14ac:dyDescent="0.25">
      <c r="B1746" s="161">
        <v>41535</v>
      </c>
      <c r="C1746" s="12" t="s">
        <v>792</v>
      </c>
      <c r="D1746" s="12" t="s">
        <v>652</v>
      </c>
      <c r="E1746" s="12" t="s">
        <v>803</v>
      </c>
      <c r="F1746" s="12" t="s">
        <v>799</v>
      </c>
      <c r="G1746" s="55">
        <v>5773</v>
      </c>
      <c r="H1746" s="55">
        <v>9786</v>
      </c>
      <c r="I1746" s="2" t="b">
        <f t="shared" si="28"/>
        <v>0</v>
      </c>
    </row>
    <row r="1747" spans="2:9" x14ac:dyDescent="0.25">
      <c r="B1747" s="161">
        <v>41238</v>
      </c>
      <c r="C1747" s="12" t="s">
        <v>805</v>
      </c>
      <c r="D1747" s="12" t="s">
        <v>457</v>
      </c>
      <c r="E1747" s="12" t="s">
        <v>487</v>
      </c>
      <c r="F1747" s="12" t="s">
        <v>794</v>
      </c>
      <c r="G1747" s="55">
        <v>1333</v>
      </c>
      <c r="H1747" s="55">
        <v>1960</v>
      </c>
      <c r="I1747" s="2" t="b">
        <f t="shared" si="28"/>
        <v>0</v>
      </c>
    </row>
    <row r="1748" spans="2:9" x14ac:dyDescent="0.25">
      <c r="B1748" s="161">
        <v>41395</v>
      </c>
      <c r="C1748" s="12" t="s">
        <v>790</v>
      </c>
      <c r="D1748" s="12" t="s">
        <v>652</v>
      </c>
      <c r="E1748" s="12" t="s">
        <v>803</v>
      </c>
      <c r="F1748" s="12" t="s">
        <v>794</v>
      </c>
      <c r="G1748" s="55">
        <v>3878</v>
      </c>
      <c r="H1748" s="55">
        <v>7051</v>
      </c>
      <c r="I1748" s="2" t="b">
        <f t="shared" si="28"/>
        <v>0</v>
      </c>
    </row>
    <row r="1749" spans="2:9" x14ac:dyDescent="0.25">
      <c r="B1749" s="161">
        <v>41118</v>
      </c>
      <c r="C1749" s="12" t="s">
        <v>802</v>
      </c>
      <c r="D1749" s="12" t="s">
        <v>457</v>
      </c>
      <c r="E1749" s="12" t="s">
        <v>793</v>
      </c>
      <c r="F1749" s="12" t="s">
        <v>794</v>
      </c>
      <c r="G1749" s="55">
        <v>2875</v>
      </c>
      <c r="H1749" s="55">
        <v>5229</v>
      </c>
      <c r="I1749" s="2" t="b">
        <f t="shared" si="28"/>
        <v>0</v>
      </c>
    </row>
    <row r="1750" spans="2:9" x14ac:dyDescent="0.25">
      <c r="B1750" s="161">
        <v>40993</v>
      </c>
      <c r="C1750" s="12" t="s">
        <v>790</v>
      </c>
      <c r="D1750" s="12" t="s">
        <v>801</v>
      </c>
      <c r="E1750" s="12" t="s">
        <v>607</v>
      </c>
      <c r="F1750" s="12" t="s">
        <v>794</v>
      </c>
      <c r="G1750" s="55">
        <v>2360</v>
      </c>
      <c r="H1750" s="55">
        <v>3148</v>
      </c>
      <c r="I1750" s="2" t="b">
        <f t="shared" si="28"/>
        <v>0</v>
      </c>
    </row>
    <row r="1751" spans="2:9" x14ac:dyDescent="0.25">
      <c r="B1751" s="161">
        <v>40974</v>
      </c>
      <c r="C1751" s="12" t="s">
        <v>792</v>
      </c>
      <c r="D1751" s="12" t="s">
        <v>457</v>
      </c>
      <c r="E1751" s="12" t="s">
        <v>807</v>
      </c>
      <c r="F1751" s="12" t="s">
        <v>796</v>
      </c>
      <c r="G1751" s="55">
        <v>1882</v>
      </c>
      <c r="H1751" s="55">
        <v>4375</v>
      </c>
      <c r="I1751" s="2" t="b">
        <f t="shared" si="28"/>
        <v>0</v>
      </c>
    </row>
    <row r="1752" spans="2:9" x14ac:dyDescent="0.25">
      <c r="B1752" s="161">
        <v>41289</v>
      </c>
      <c r="C1752" s="12" t="s">
        <v>805</v>
      </c>
      <c r="D1752" s="12" t="s">
        <v>652</v>
      </c>
      <c r="E1752" s="12" t="s">
        <v>607</v>
      </c>
      <c r="F1752" s="12" t="s">
        <v>791</v>
      </c>
      <c r="G1752" s="55">
        <v>2585</v>
      </c>
      <c r="H1752" s="55">
        <v>4458</v>
      </c>
      <c r="I1752" s="2" t="b">
        <f t="shared" si="28"/>
        <v>0</v>
      </c>
    </row>
    <row r="1753" spans="2:9" x14ac:dyDescent="0.25">
      <c r="B1753" s="161">
        <v>40930</v>
      </c>
      <c r="C1753" s="12" t="s">
        <v>805</v>
      </c>
      <c r="D1753" s="12" t="s">
        <v>797</v>
      </c>
      <c r="E1753" s="12" t="s">
        <v>803</v>
      </c>
      <c r="F1753" s="12" t="s">
        <v>794</v>
      </c>
      <c r="G1753" s="55">
        <v>1334</v>
      </c>
      <c r="H1753" s="55">
        <v>3104</v>
      </c>
      <c r="I1753" s="2" t="b">
        <f t="shared" si="28"/>
        <v>0</v>
      </c>
    </row>
    <row r="1754" spans="2:9" x14ac:dyDescent="0.25">
      <c r="B1754" s="161">
        <v>41383</v>
      </c>
      <c r="C1754" s="12" t="s">
        <v>792</v>
      </c>
      <c r="D1754" s="12" t="s">
        <v>652</v>
      </c>
      <c r="E1754" s="12" t="s">
        <v>807</v>
      </c>
      <c r="F1754" s="12" t="s">
        <v>799</v>
      </c>
      <c r="G1754" s="55">
        <v>233</v>
      </c>
      <c r="H1754" s="55">
        <v>401</v>
      </c>
      <c r="I1754" s="2" t="b">
        <f t="shared" si="28"/>
        <v>0</v>
      </c>
    </row>
    <row r="1755" spans="2:9" x14ac:dyDescent="0.25">
      <c r="B1755" s="161">
        <v>41456</v>
      </c>
      <c r="C1755" s="12" t="s">
        <v>802</v>
      </c>
      <c r="D1755" s="12" t="s">
        <v>797</v>
      </c>
      <c r="E1755" s="12" t="s">
        <v>795</v>
      </c>
      <c r="F1755" s="12" t="s">
        <v>796</v>
      </c>
      <c r="G1755" s="55">
        <v>2808</v>
      </c>
      <c r="H1755" s="55">
        <v>6238</v>
      </c>
      <c r="I1755" s="2" t="b">
        <f t="shared" si="28"/>
        <v>0</v>
      </c>
    </row>
    <row r="1756" spans="2:9" x14ac:dyDescent="0.25">
      <c r="B1756" s="161">
        <v>41307</v>
      </c>
      <c r="C1756" s="12" t="s">
        <v>790</v>
      </c>
      <c r="D1756" s="12" t="s">
        <v>652</v>
      </c>
      <c r="E1756" s="12" t="s">
        <v>793</v>
      </c>
      <c r="F1756" s="12" t="s">
        <v>794</v>
      </c>
      <c r="G1756" s="55">
        <v>8</v>
      </c>
      <c r="H1756" s="55">
        <v>14</v>
      </c>
      <c r="I1756" s="2" t="b">
        <f t="shared" si="28"/>
        <v>0</v>
      </c>
    </row>
    <row r="1757" spans="2:9" x14ac:dyDescent="0.25">
      <c r="B1757" s="161">
        <v>41550</v>
      </c>
      <c r="C1757" s="12" t="s">
        <v>802</v>
      </c>
      <c r="D1757" s="12" t="s">
        <v>801</v>
      </c>
      <c r="E1757" s="12" t="s">
        <v>803</v>
      </c>
      <c r="F1757" s="12" t="s">
        <v>796</v>
      </c>
      <c r="G1757" s="55">
        <v>389</v>
      </c>
      <c r="H1757" s="55">
        <v>657</v>
      </c>
      <c r="I1757" s="2" t="b">
        <f t="shared" si="28"/>
        <v>0</v>
      </c>
    </row>
    <row r="1758" spans="2:9" x14ac:dyDescent="0.25">
      <c r="B1758" s="161">
        <v>41258</v>
      </c>
      <c r="C1758" s="12" t="s">
        <v>805</v>
      </c>
      <c r="D1758" s="12" t="s">
        <v>797</v>
      </c>
      <c r="E1758" s="12" t="s">
        <v>804</v>
      </c>
      <c r="F1758" s="12" t="s">
        <v>796</v>
      </c>
      <c r="G1758" s="55">
        <v>1380</v>
      </c>
      <c r="H1758" s="55">
        <v>3206</v>
      </c>
      <c r="I1758" s="2" t="b">
        <f t="shared" si="28"/>
        <v>0</v>
      </c>
    </row>
    <row r="1759" spans="2:9" x14ac:dyDescent="0.25">
      <c r="B1759" s="161">
        <v>41000</v>
      </c>
      <c r="C1759" s="12" t="s">
        <v>790</v>
      </c>
      <c r="D1759" s="12" t="s">
        <v>652</v>
      </c>
      <c r="E1759" s="12" t="s">
        <v>795</v>
      </c>
      <c r="F1759" s="12" t="s">
        <v>791</v>
      </c>
      <c r="G1759" s="55">
        <v>1910</v>
      </c>
      <c r="H1759" s="55">
        <v>4242</v>
      </c>
      <c r="I1759" s="2" t="b">
        <f t="shared" si="28"/>
        <v>0</v>
      </c>
    </row>
    <row r="1760" spans="2:9" x14ac:dyDescent="0.25">
      <c r="B1760" s="161">
        <v>41184</v>
      </c>
      <c r="C1760" s="12" t="s">
        <v>790</v>
      </c>
      <c r="D1760" s="12" t="s">
        <v>652</v>
      </c>
      <c r="E1760" s="12" t="s">
        <v>809</v>
      </c>
      <c r="F1760" s="12" t="s">
        <v>796</v>
      </c>
      <c r="G1760" s="55">
        <v>4429</v>
      </c>
      <c r="H1760" s="55">
        <v>8052</v>
      </c>
      <c r="I1760" s="2" t="b">
        <f t="shared" si="28"/>
        <v>0</v>
      </c>
    </row>
    <row r="1761" spans="2:9" x14ac:dyDescent="0.25">
      <c r="B1761" s="161">
        <v>41492</v>
      </c>
      <c r="C1761" s="12" t="s">
        <v>805</v>
      </c>
      <c r="D1761" s="12" t="s">
        <v>652</v>
      </c>
      <c r="E1761" s="12" t="s">
        <v>806</v>
      </c>
      <c r="F1761" s="12" t="s">
        <v>796</v>
      </c>
      <c r="G1761" s="55">
        <v>1255</v>
      </c>
      <c r="H1761" s="55">
        <v>3391</v>
      </c>
      <c r="I1761" s="2" t="b">
        <f t="shared" si="28"/>
        <v>0</v>
      </c>
    </row>
    <row r="1762" spans="2:9" x14ac:dyDescent="0.25">
      <c r="B1762" s="161">
        <v>41527</v>
      </c>
      <c r="C1762" s="12" t="s">
        <v>790</v>
      </c>
      <c r="D1762" s="12" t="s">
        <v>652</v>
      </c>
      <c r="E1762" s="12" t="s">
        <v>809</v>
      </c>
      <c r="F1762" s="12" t="s">
        <v>796</v>
      </c>
      <c r="G1762" s="55">
        <v>4253</v>
      </c>
      <c r="H1762" s="55">
        <v>7333</v>
      </c>
      <c r="I1762" s="2" t="b">
        <f t="shared" si="28"/>
        <v>0</v>
      </c>
    </row>
    <row r="1763" spans="2:9" x14ac:dyDescent="0.25">
      <c r="B1763" s="161">
        <v>41013</v>
      </c>
      <c r="C1763" s="12" t="s">
        <v>790</v>
      </c>
      <c r="D1763" s="12" t="s">
        <v>457</v>
      </c>
      <c r="E1763" s="12" t="s">
        <v>800</v>
      </c>
      <c r="F1763" s="12" t="s">
        <v>796</v>
      </c>
      <c r="G1763" s="55">
        <v>6222</v>
      </c>
      <c r="H1763" s="55">
        <v>6655</v>
      </c>
      <c r="I1763" s="2" t="b">
        <f t="shared" si="28"/>
        <v>0</v>
      </c>
    </row>
    <row r="1764" spans="2:9" x14ac:dyDescent="0.25">
      <c r="B1764" s="161">
        <v>41492</v>
      </c>
      <c r="C1764" s="12" t="s">
        <v>802</v>
      </c>
      <c r="D1764" s="12" t="s">
        <v>457</v>
      </c>
      <c r="E1764" s="12" t="s">
        <v>795</v>
      </c>
      <c r="F1764" s="12" t="s">
        <v>794</v>
      </c>
      <c r="G1764" s="55">
        <v>541</v>
      </c>
      <c r="H1764" s="55">
        <v>933</v>
      </c>
      <c r="I1764" s="2" t="b">
        <f t="shared" si="28"/>
        <v>0</v>
      </c>
    </row>
    <row r="1765" spans="2:9" x14ac:dyDescent="0.25">
      <c r="B1765" s="161">
        <v>41276</v>
      </c>
      <c r="C1765" s="12" t="s">
        <v>802</v>
      </c>
      <c r="D1765" s="12" t="s">
        <v>801</v>
      </c>
      <c r="E1765" s="12" t="s">
        <v>487</v>
      </c>
      <c r="F1765" s="12" t="s">
        <v>799</v>
      </c>
      <c r="G1765" s="55">
        <v>2424</v>
      </c>
      <c r="H1765" s="55">
        <v>4407</v>
      </c>
      <c r="I1765" s="2" t="b">
        <f t="shared" si="28"/>
        <v>0</v>
      </c>
    </row>
    <row r="1766" spans="2:9" x14ac:dyDescent="0.25">
      <c r="B1766" s="161">
        <v>41606</v>
      </c>
      <c r="C1766" s="12" t="s">
        <v>805</v>
      </c>
      <c r="D1766" s="12" t="s">
        <v>457</v>
      </c>
      <c r="E1766" s="12" t="s">
        <v>798</v>
      </c>
      <c r="F1766" s="12" t="s">
        <v>794</v>
      </c>
      <c r="G1766" s="55">
        <v>152</v>
      </c>
      <c r="H1766" s="55">
        <v>274</v>
      </c>
      <c r="I1766" s="2" t="b">
        <f t="shared" si="28"/>
        <v>0</v>
      </c>
    </row>
    <row r="1767" spans="2:9" x14ac:dyDescent="0.25">
      <c r="B1767" s="161">
        <v>41415</v>
      </c>
      <c r="C1767" s="12" t="s">
        <v>792</v>
      </c>
      <c r="D1767" s="12" t="s">
        <v>652</v>
      </c>
      <c r="E1767" s="12" t="s">
        <v>806</v>
      </c>
      <c r="F1767" s="12" t="s">
        <v>791</v>
      </c>
      <c r="G1767" s="55">
        <v>270</v>
      </c>
      <c r="H1767" s="55">
        <v>359</v>
      </c>
      <c r="I1767" s="2" t="b">
        <f t="shared" si="28"/>
        <v>0</v>
      </c>
    </row>
    <row r="1768" spans="2:9" x14ac:dyDescent="0.25">
      <c r="B1768" s="161">
        <v>41150</v>
      </c>
      <c r="C1768" s="12" t="s">
        <v>790</v>
      </c>
      <c r="D1768" s="12" t="s">
        <v>457</v>
      </c>
      <c r="E1768" s="12" t="s">
        <v>807</v>
      </c>
      <c r="F1768" s="12" t="s">
        <v>791</v>
      </c>
      <c r="G1768" s="55">
        <v>1452</v>
      </c>
      <c r="H1768" s="55">
        <v>2460</v>
      </c>
      <c r="I1768" s="2" t="b">
        <f t="shared" si="28"/>
        <v>0</v>
      </c>
    </row>
    <row r="1769" spans="2:9" x14ac:dyDescent="0.25">
      <c r="B1769" s="161">
        <v>41240</v>
      </c>
      <c r="C1769" s="12" t="s">
        <v>805</v>
      </c>
      <c r="D1769" s="12" t="s">
        <v>797</v>
      </c>
      <c r="E1769" s="12" t="s">
        <v>806</v>
      </c>
      <c r="F1769" s="12" t="s">
        <v>794</v>
      </c>
      <c r="G1769" s="55">
        <v>4085</v>
      </c>
      <c r="H1769" s="55">
        <v>4369</v>
      </c>
      <c r="I1769" s="2" t="b">
        <f t="shared" si="28"/>
        <v>0</v>
      </c>
    </row>
    <row r="1770" spans="2:9" x14ac:dyDescent="0.25">
      <c r="B1770" s="161">
        <v>41149</v>
      </c>
      <c r="C1770" s="12" t="s">
        <v>790</v>
      </c>
      <c r="D1770" s="12" t="s">
        <v>797</v>
      </c>
      <c r="E1770" s="12" t="s">
        <v>803</v>
      </c>
      <c r="F1770" s="12" t="s">
        <v>794</v>
      </c>
      <c r="G1770" s="55">
        <v>489</v>
      </c>
      <c r="H1770" s="55">
        <v>1087</v>
      </c>
      <c r="I1770" s="2" t="b">
        <f t="shared" si="28"/>
        <v>0</v>
      </c>
    </row>
    <row r="1771" spans="2:9" x14ac:dyDescent="0.25">
      <c r="B1771" s="161">
        <v>41276</v>
      </c>
      <c r="C1771" s="12" t="s">
        <v>792</v>
      </c>
      <c r="D1771" s="12" t="s">
        <v>801</v>
      </c>
      <c r="E1771" s="12" t="s">
        <v>487</v>
      </c>
      <c r="F1771" s="12" t="s">
        <v>799</v>
      </c>
      <c r="G1771" s="55">
        <v>1375</v>
      </c>
      <c r="H1771" s="55">
        <v>2021</v>
      </c>
      <c r="I1771" s="2" t="b">
        <f t="shared" si="28"/>
        <v>0</v>
      </c>
    </row>
    <row r="1772" spans="2:9" x14ac:dyDescent="0.25">
      <c r="B1772" s="161">
        <v>41479</v>
      </c>
      <c r="C1772" s="12" t="s">
        <v>792</v>
      </c>
      <c r="D1772" s="12" t="s">
        <v>797</v>
      </c>
      <c r="E1772" s="12" t="s">
        <v>804</v>
      </c>
      <c r="F1772" s="12" t="s">
        <v>796</v>
      </c>
      <c r="G1772" s="55">
        <v>3808</v>
      </c>
      <c r="H1772" s="55">
        <v>8462</v>
      </c>
      <c r="I1772" s="2" t="b">
        <f t="shared" si="28"/>
        <v>0</v>
      </c>
    </row>
    <row r="1773" spans="2:9" x14ac:dyDescent="0.25">
      <c r="B1773" s="161">
        <v>41244</v>
      </c>
      <c r="C1773" s="12" t="s">
        <v>792</v>
      </c>
      <c r="D1773" s="12" t="s">
        <v>797</v>
      </c>
      <c r="E1773" s="12" t="s">
        <v>808</v>
      </c>
      <c r="F1773" s="12" t="s">
        <v>799</v>
      </c>
      <c r="G1773" s="55">
        <v>1460</v>
      </c>
      <c r="H1773" s="55">
        <v>1561</v>
      </c>
      <c r="I1773" s="2" t="b">
        <f t="shared" si="28"/>
        <v>0</v>
      </c>
    </row>
    <row r="1774" spans="2:9" x14ac:dyDescent="0.25">
      <c r="B1774" s="161">
        <v>41630</v>
      </c>
      <c r="C1774" s="12" t="s">
        <v>805</v>
      </c>
      <c r="D1774" s="12" t="s">
        <v>797</v>
      </c>
      <c r="E1774" s="12" t="s">
        <v>809</v>
      </c>
      <c r="F1774" s="12" t="s">
        <v>796</v>
      </c>
      <c r="G1774" s="55">
        <v>3799</v>
      </c>
      <c r="H1774" s="55">
        <v>4318</v>
      </c>
      <c r="I1774" s="2" t="b">
        <f t="shared" si="28"/>
        <v>0</v>
      </c>
    </row>
    <row r="1775" spans="2:9" x14ac:dyDescent="0.25">
      <c r="B1775" s="161">
        <v>41031</v>
      </c>
      <c r="C1775" s="12" t="s">
        <v>790</v>
      </c>
      <c r="D1775" s="12" t="s">
        <v>797</v>
      </c>
      <c r="E1775" s="12" t="s">
        <v>804</v>
      </c>
      <c r="F1775" s="12" t="s">
        <v>796</v>
      </c>
      <c r="G1775" s="55">
        <v>2420</v>
      </c>
      <c r="H1775" s="55">
        <v>5379</v>
      </c>
      <c r="I1775" s="2" t="b">
        <f t="shared" si="28"/>
        <v>0</v>
      </c>
    </row>
    <row r="1776" spans="2:9" x14ac:dyDescent="0.25">
      <c r="B1776" s="161">
        <v>41049</v>
      </c>
      <c r="C1776" s="12" t="s">
        <v>790</v>
      </c>
      <c r="D1776" s="12" t="s">
        <v>652</v>
      </c>
      <c r="E1776" s="12" t="s">
        <v>809</v>
      </c>
      <c r="F1776" s="12" t="s">
        <v>799</v>
      </c>
      <c r="G1776" s="55">
        <v>2930</v>
      </c>
      <c r="H1776" s="55">
        <v>4309</v>
      </c>
      <c r="I1776" s="2" t="b">
        <f t="shared" si="28"/>
        <v>0</v>
      </c>
    </row>
    <row r="1777" spans="2:9" x14ac:dyDescent="0.25">
      <c r="B1777" s="161">
        <v>41385</v>
      </c>
      <c r="C1777" s="12" t="s">
        <v>802</v>
      </c>
      <c r="D1777" s="12" t="s">
        <v>652</v>
      </c>
      <c r="E1777" s="12" t="s">
        <v>795</v>
      </c>
      <c r="F1777" s="12" t="s">
        <v>796</v>
      </c>
      <c r="G1777" s="55">
        <v>2495</v>
      </c>
      <c r="H1777" s="55">
        <v>4301</v>
      </c>
      <c r="I1777" s="2" t="b">
        <f t="shared" si="28"/>
        <v>0</v>
      </c>
    </row>
    <row r="1778" spans="2:9" x14ac:dyDescent="0.25">
      <c r="B1778" s="161">
        <v>41057</v>
      </c>
      <c r="C1778" s="12" t="s">
        <v>805</v>
      </c>
      <c r="D1778" s="12" t="s">
        <v>652</v>
      </c>
      <c r="E1778" s="12" t="s">
        <v>809</v>
      </c>
      <c r="F1778" s="12" t="s">
        <v>791</v>
      </c>
      <c r="G1778" s="55">
        <v>5263</v>
      </c>
      <c r="H1778" s="55">
        <v>9568</v>
      </c>
      <c r="I1778" s="2" t="b">
        <f t="shared" si="28"/>
        <v>0</v>
      </c>
    </row>
    <row r="1779" spans="2:9" x14ac:dyDescent="0.25">
      <c r="B1779" s="161">
        <v>41107</v>
      </c>
      <c r="C1779" s="12" t="s">
        <v>790</v>
      </c>
      <c r="D1779" s="12" t="s">
        <v>801</v>
      </c>
      <c r="E1779" s="12" t="s">
        <v>798</v>
      </c>
      <c r="F1779" s="12" t="s">
        <v>796</v>
      </c>
      <c r="G1779" s="55">
        <v>5376</v>
      </c>
      <c r="H1779" s="55">
        <v>6109</v>
      </c>
      <c r="I1779" s="2" t="b">
        <f t="shared" si="28"/>
        <v>0</v>
      </c>
    </row>
    <row r="1780" spans="2:9" x14ac:dyDescent="0.25">
      <c r="B1780" s="161">
        <v>41275</v>
      </c>
      <c r="C1780" s="12" t="s">
        <v>805</v>
      </c>
      <c r="D1780" s="12" t="s">
        <v>801</v>
      </c>
      <c r="E1780" s="12" t="s">
        <v>607</v>
      </c>
      <c r="F1780" s="12" t="s">
        <v>794</v>
      </c>
      <c r="G1780" s="55">
        <v>430</v>
      </c>
      <c r="H1780" s="55">
        <v>573</v>
      </c>
      <c r="I1780" s="2" t="b">
        <f t="shared" si="28"/>
        <v>0</v>
      </c>
    </row>
    <row r="1781" spans="2:9" x14ac:dyDescent="0.25">
      <c r="B1781" s="161">
        <v>41144</v>
      </c>
      <c r="C1781" s="12" t="s">
        <v>792</v>
      </c>
      <c r="D1781" s="12" t="s">
        <v>797</v>
      </c>
      <c r="E1781" s="12" t="s">
        <v>793</v>
      </c>
      <c r="F1781" s="12" t="s">
        <v>796</v>
      </c>
      <c r="G1781" s="55">
        <v>3083</v>
      </c>
      <c r="H1781" s="55">
        <v>3296</v>
      </c>
      <c r="I1781" s="2" t="b">
        <f t="shared" si="28"/>
        <v>0</v>
      </c>
    </row>
    <row r="1782" spans="2:9" x14ac:dyDescent="0.25">
      <c r="B1782" s="161">
        <v>41611</v>
      </c>
      <c r="C1782" s="12" t="s">
        <v>802</v>
      </c>
      <c r="D1782" s="12" t="s">
        <v>457</v>
      </c>
      <c r="E1782" s="12" t="s">
        <v>807</v>
      </c>
      <c r="F1782" s="12" t="s">
        <v>796</v>
      </c>
      <c r="G1782" s="55">
        <v>2315</v>
      </c>
      <c r="H1782" s="55">
        <v>5384</v>
      </c>
      <c r="I1782" s="2" t="b">
        <f t="shared" si="28"/>
        <v>0</v>
      </c>
    </row>
    <row r="1783" spans="2:9" x14ac:dyDescent="0.25">
      <c r="B1783" s="161">
        <v>41050</v>
      </c>
      <c r="C1783" s="12" t="s">
        <v>802</v>
      </c>
      <c r="D1783" s="12" t="s">
        <v>797</v>
      </c>
      <c r="E1783" s="12" t="s">
        <v>607</v>
      </c>
      <c r="F1783" s="12" t="s">
        <v>794</v>
      </c>
      <c r="G1783" s="55">
        <v>1888</v>
      </c>
      <c r="H1783" s="55">
        <v>5100</v>
      </c>
      <c r="I1783" s="2" t="b">
        <f t="shared" si="28"/>
        <v>0</v>
      </c>
    </row>
    <row r="1784" spans="2:9" x14ac:dyDescent="0.25">
      <c r="B1784" s="161">
        <v>41444</v>
      </c>
      <c r="C1784" s="12" t="s">
        <v>805</v>
      </c>
      <c r="D1784" s="12" t="s">
        <v>457</v>
      </c>
      <c r="E1784" s="12" t="s">
        <v>800</v>
      </c>
      <c r="F1784" s="12" t="s">
        <v>794</v>
      </c>
      <c r="G1784" s="55">
        <v>1521</v>
      </c>
      <c r="H1784" s="55">
        <v>3538</v>
      </c>
      <c r="I1784" s="2" t="b">
        <f t="shared" si="28"/>
        <v>0</v>
      </c>
    </row>
    <row r="1785" spans="2:9" x14ac:dyDescent="0.25">
      <c r="B1785" s="161">
        <v>40913</v>
      </c>
      <c r="C1785" s="12" t="s">
        <v>792</v>
      </c>
      <c r="D1785" s="12" t="s">
        <v>801</v>
      </c>
      <c r="E1785" s="12" t="s">
        <v>809</v>
      </c>
      <c r="F1785" s="12" t="s">
        <v>791</v>
      </c>
      <c r="G1785" s="55">
        <v>3254</v>
      </c>
      <c r="H1785" s="55">
        <v>4339</v>
      </c>
      <c r="I1785" s="2" t="b">
        <f t="shared" si="28"/>
        <v>0</v>
      </c>
    </row>
    <row r="1786" spans="2:9" x14ac:dyDescent="0.25">
      <c r="B1786" s="161">
        <v>41392</v>
      </c>
      <c r="C1786" s="12" t="s">
        <v>805</v>
      </c>
      <c r="D1786" s="12" t="s">
        <v>652</v>
      </c>
      <c r="E1786" s="12" t="s">
        <v>487</v>
      </c>
      <c r="F1786" s="12" t="s">
        <v>794</v>
      </c>
      <c r="G1786" s="55">
        <v>6469</v>
      </c>
      <c r="H1786" s="55">
        <v>6920</v>
      </c>
      <c r="I1786" s="2" t="b">
        <f t="shared" si="28"/>
        <v>0</v>
      </c>
    </row>
    <row r="1787" spans="2:9" x14ac:dyDescent="0.25">
      <c r="B1787" s="161">
        <v>41562</v>
      </c>
      <c r="C1787" s="12" t="s">
        <v>790</v>
      </c>
      <c r="D1787" s="12" t="s">
        <v>801</v>
      </c>
      <c r="E1787" s="12" t="s">
        <v>795</v>
      </c>
      <c r="F1787" s="12" t="s">
        <v>799</v>
      </c>
      <c r="G1787" s="55">
        <v>2650</v>
      </c>
      <c r="H1787" s="55">
        <v>3533</v>
      </c>
      <c r="I1787" s="2" t="b">
        <f t="shared" si="28"/>
        <v>0</v>
      </c>
    </row>
    <row r="1788" spans="2:9" x14ac:dyDescent="0.25">
      <c r="B1788" s="161">
        <v>41558</v>
      </c>
      <c r="C1788" s="12" t="s">
        <v>790</v>
      </c>
      <c r="D1788" s="12" t="s">
        <v>457</v>
      </c>
      <c r="E1788" s="12" t="s">
        <v>809</v>
      </c>
      <c r="F1788" s="12" t="s">
        <v>794</v>
      </c>
      <c r="G1788" s="55">
        <v>1094</v>
      </c>
      <c r="H1788" s="55">
        <v>1245</v>
      </c>
      <c r="I1788" s="2" t="b">
        <f t="shared" si="28"/>
        <v>0</v>
      </c>
    </row>
    <row r="1789" spans="2:9" x14ac:dyDescent="0.25">
      <c r="B1789" s="161">
        <v>41191</v>
      </c>
      <c r="C1789" s="12" t="s">
        <v>792</v>
      </c>
      <c r="D1789" s="12" t="s">
        <v>457</v>
      </c>
      <c r="E1789" s="12" t="s">
        <v>793</v>
      </c>
      <c r="F1789" s="12" t="s">
        <v>799</v>
      </c>
      <c r="G1789" s="55">
        <v>5724</v>
      </c>
      <c r="H1789" s="55">
        <v>8418</v>
      </c>
      <c r="I1789" s="2" t="b">
        <f t="shared" si="28"/>
        <v>0</v>
      </c>
    </row>
    <row r="1790" spans="2:9" x14ac:dyDescent="0.25">
      <c r="B1790" s="161">
        <v>41580</v>
      </c>
      <c r="C1790" s="12" t="s">
        <v>802</v>
      </c>
      <c r="D1790" s="12" t="s">
        <v>652</v>
      </c>
      <c r="E1790" s="12" t="s">
        <v>607</v>
      </c>
      <c r="F1790" s="12" t="s">
        <v>794</v>
      </c>
      <c r="G1790" s="55">
        <v>1338</v>
      </c>
      <c r="H1790" s="55">
        <v>2431</v>
      </c>
      <c r="I1790" s="2" t="b">
        <f t="shared" si="28"/>
        <v>0</v>
      </c>
    </row>
    <row r="1791" spans="2:9" x14ac:dyDescent="0.25">
      <c r="B1791" s="161">
        <v>41404</v>
      </c>
      <c r="C1791" s="12" t="s">
        <v>805</v>
      </c>
      <c r="D1791" s="12" t="s">
        <v>652</v>
      </c>
      <c r="E1791" s="12" t="s">
        <v>487</v>
      </c>
      <c r="F1791" s="12" t="s">
        <v>791</v>
      </c>
      <c r="G1791" s="55">
        <v>2553</v>
      </c>
      <c r="H1791" s="55">
        <v>3755</v>
      </c>
      <c r="I1791" s="2" t="b">
        <f t="shared" si="28"/>
        <v>0</v>
      </c>
    </row>
    <row r="1792" spans="2:9" x14ac:dyDescent="0.25">
      <c r="B1792" s="161">
        <v>41565</v>
      </c>
      <c r="C1792" s="12" t="s">
        <v>790</v>
      </c>
      <c r="D1792" s="12" t="s">
        <v>797</v>
      </c>
      <c r="E1792" s="12" t="s">
        <v>607</v>
      </c>
      <c r="F1792" s="12" t="s">
        <v>799</v>
      </c>
      <c r="G1792" s="55">
        <v>8931</v>
      </c>
      <c r="H1792" s="55">
        <v>9552</v>
      </c>
      <c r="I1792" s="2" t="b">
        <f t="shared" si="28"/>
        <v>0</v>
      </c>
    </row>
    <row r="1793" spans="2:9" x14ac:dyDescent="0.25">
      <c r="B1793" s="161">
        <v>41509</v>
      </c>
      <c r="C1793" s="12" t="s">
        <v>790</v>
      </c>
      <c r="D1793" s="12" t="s">
        <v>797</v>
      </c>
      <c r="E1793" s="12" t="s">
        <v>607</v>
      </c>
      <c r="F1793" s="12" t="s">
        <v>794</v>
      </c>
      <c r="G1793" s="55">
        <v>8623</v>
      </c>
      <c r="H1793" s="55">
        <v>9223</v>
      </c>
      <c r="I1793" s="2" t="b">
        <f t="shared" si="28"/>
        <v>0</v>
      </c>
    </row>
    <row r="1794" spans="2:9" x14ac:dyDescent="0.25">
      <c r="B1794" s="161">
        <v>40955</v>
      </c>
      <c r="C1794" s="12" t="s">
        <v>790</v>
      </c>
      <c r="D1794" s="12" t="s">
        <v>457</v>
      </c>
      <c r="E1794" s="12" t="s">
        <v>803</v>
      </c>
      <c r="F1794" s="12" t="s">
        <v>799</v>
      </c>
      <c r="G1794" s="55">
        <v>1982</v>
      </c>
      <c r="H1794" s="55">
        <v>2254</v>
      </c>
      <c r="I1794" s="2" t="b">
        <f t="shared" si="28"/>
        <v>0</v>
      </c>
    </row>
    <row r="1795" spans="2:9" x14ac:dyDescent="0.25">
      <c r="B1795" s="161">
        <v>41637</v>
      </c>
      <c r="C1795" s="12" t="s">
        <v>802</v>
      </c>
      <c r="D1795" s="12" t="s">
        <v>797</v>
      </c>
      <c r="E1795" s="12" t="s">
        <v>803</v>
      </c>
      <c r="F1795" s="12" t="s">
        <v>791</v>
      </c>
      <c r="G1795" s="55">
        <v>3251</v>
      </c>
      <c r="H1795" s="55">
        <v>4334</v>
      </c>
      <c r="I1795" s="2" t="b">
        <f t="shared" si="28"/>
        <v>0</v>
      </c>
    </row>
    <row r="1796" spans="2:9" x14ac:dyDescent="0.25">
      <c r="B1796" s="161">
        <v>41213</v>
      </c>
      <c r="C1796" s="12" t="s">
        <v>805</v>
      </c>
      <c r="D1796" s="12" t="s">
        <v>652</v>
      </c>
      <c r="E1796" s="12" t="s">
        <v>806</v>
      </c>
      <c r="F1796" s="12" t="s">
        <v>799</v>
      </c>
      <c r="G1796" s="55">
        <v>3592</v>
      </c>
      <c r="H1796" s="55">
        <v>6532</v>
      </c>
      <c r="I1796" s="2" t="b">
        <f t="shared" si="28"/>
        <v>0</v>
      </c>
    </row>
    <row r="1797" spans="2:9" x14ac:dyDescent="0.25">
      <c r="B1797" s="161">
        <v>41375</v>
      </c>
      <c r="C1797" s="12" t="s">
        <v>792</v>
      </c>
      <c r="D1797" s="12" t="s">
        <v>797</v>
      </c>
      <c r="E1797" s="12" t="s">
        <v>808</v>
      </c>
      <c r="F1797" s="12" t="s">
        <v>794</v>
      </c>
      <c r="G1797" s="55">
        <v>3297</v>
      </c>
      <c r="H1797" s="55">
        <v>3747</v>
      </c>
      <c r="I1797" s="2" t="b">
        <f t="shared" si="28"/>
        <v>0</v>
      </c>
    </row>
    <row r="1798" spans="2:9" x14ac:dyDescent="0.25">
      <c r="B1798" s="161">
        <v>41622</v>
      </c>
      <c r="C1798" s="12" t="s">
        <v>792</v>
      </c>
      <c r="D1798" s="12" t="s">
        <v>457</v>
      </c>
      <c r="E1798" s="12" t="s">
        <v>806</v>
      </c>
      <c r="F1798" s="12" t="s">
        <v>791</v>
      </c>
      <c r="G1798" s="55">
        <v>3963</v>
      </c>
      <c r="H1798" s="55">
        <v>8808</v>
      </c>
      <c r="I1798" s="2" t="b">
        <f t="shared" si="28"/>
        <v>0</v>
      </c>
    </row>
    <row r="1799" spans="2:9" x14ac:dyDescent="0.25">
      <c r="B1799" s="161">
        <v>41357</v>
      </c>
      <c r="C1799" s="12" t="s">
        <v>805</v>
      </c>
      <c r="D1799" s="12" t="s">
        <v>797</v>
      </c>
      <c r="E1799" s="12" t="s">
        <v>795</v>
      </c>
      <c r="F1799" s="12" t="s">
        <v>794</v>
      </c>
      <c r="G1799" s="55">
        <v>4902</v>
      </c>
      <c r="H1799" s="55">
        <v>8451</v>
      </c>
      <c r="I1799" s="2" t="b">
        <f t="shared" ref="I1799:I1862" si="29">AND($K$9=C1799,$L$9=D1799,$M$9=F1799)</f>
        <v>0</v>
      </c>
    </row>
    <row r="1800" spans="2:9" x14ac:dyDescent="0.25">
      <c r="B1800" s="161">
        <v>41371</v>
      </c>
      <c r="C1800" s="12" t="s">
        <v>792</v>
      </c>
      <c r="D1800" s="12" t="s">
        <v>457</v>
      </c>
      <c r="E1800" s="12" t="s">
        <v>806</v>
      </c>
      <c r="F1800" s="12" t="s">
        <v>799</v>
      </c>
      <c r="G1800" s="55">
        <v>1665</v>
      </c>
      <c r="H1800" s="55">
        <v>2870</v>
      </c>
      <c r="I1800" s="2" t="b">
        <f t="shared" si="29"/>
        <v>0</v>
      </c>
    </row>
    <row r="1801" spans="2:9" x14ac:dyDescent="0.25">
      <c r="B1801" s="161">
        <v>41351</v>
      </c>
      <c r="C1801" s="12" t="s">
        <v>802</v>
      </c>
      <c r="D1801" s="12" t="s">
        <v>652</v>
      </c>
      <c r="E1801" s="12" t="s">
        <v>793</v>
      </c>
      <c r="F1801" s="12" t="s">
        <v>796</v>
      </c>
      <c r="G1801" s="55">
        <v>2964</v>
      </c>
      <c r="H1801" s="55">
        <v>4358</v>
      </c>
      <c r="I1801" s="2" t="b">
        <f t="shared" si="29"/>
        <v>0</v>
      </c>
    </row>
    <row r="1802" spans="2:9" x14ac:dyDescent="0.25">
      <c r="B1802" s="161">
        <v>41360</v>
      </c>
      <c r="C1802" s="12" t="s">
        <v>790</v>
      </c>
      <c r="D1802" s="12" t="s">
        <v>801</v>
      </c>
      <c r="E1802" s="12" t="s">
        <v>793</v>
      </c>
      <c r="F1802" s="12" t="s">
        <v>796</v>
      </c>
      <c r="G1802" s="55">
        <v>4903</v>
      </c>
      <c r="H1802" s="55">
        <v>8309</v>
      </c>
      <c r="I1802" s="2" t="b">
        <f t="shared" si="29"/>
        <v>0</v>
      </c>
    </row>
    <row r="1803" spans="2:9" x14ac:dyDescent="0.25">
      <c r="B1803" s="161">
        <v>41524</v>
      </c>
      <c r="C1803" s="12" t="s">
        <v>802</v>
      </c>
      <c r="D1803" s="12" t="s">
        <v>457</v>
      </c>
      <c r="E1803" s="12" t="s">
        <v>487</v>
      </c>
      <c r="F1803" s="12" t="s">
        <v>794</v>
      </c>
      <c r="G1803" s="55">
        <v>1880</v>
      </c>
      <c r="H1803" s="55">
        <v>5081</v>
      </c>
      <c r="I1803" s="2" t="b">
        <f t="shared" si="29"/>
        <v>0</v>
      </c>
    </row>
    <row r="1804" spans="2:9" x14ac:dyDescent="0.25">
      <c r="B1804" s="161">
        <v>41389</v>
      </c>
      <c r="C1804" s="12" t="s">
        <v>790</v>
      </c>
      <c r="D1804" s="12" t="s">
        <v>457</v>
      </c>
      <c r="E1804" s="12" t="s">
        <v>809</v>
      </c>
      <c r="F1804" s="12" t="s">
        <v>794</v>
      </c>
      <c r="G1804" s="55">
        <v>8333</v>
      </c>
      <c r="H1804" s="55">
        <v>8913</v>
      </c>
      <c r="I1804" s="2" t="b">
        <f t="shared" si="29"/>
        <v>0</v>
      </c>
    </row>
    <row r="1805" spans="2:9" x14ac:dyDescent="0.25">
      <c r="B1805" s="161">
        <v>41341</v>
      </c>
      <c r="C1805" s="12" t="s">
        <v>802</v>
      </c>
      <c r="D1805" s="12" t="s">
        <v>801</v>
      </c>
      <c r="E1805" s="12" t="s">
        <v>804</v>
      </c>
      <c r="F1805" s="12" t="s">
        <v>791</v>
      </c>
      <c r="G1805" s="55">
        <v>63</v>
      </c>
      <c r="H1805" s="55">
        <v>84</v>
      </c>
      <c r="I1805" s="2" t="b">
        <f t="shared" si="29"/>
        <v>0</v>
      </c>
    </row>
    <row r="1806" spans="2:9" x14ac:dyDescent="0.25">
      <c r="B1806" s="161">
        <v>41361</v>
      </c>
      <c r="C1806" s="12" t="s">
        <v>805</v>
      </c>
      <c r="D1806" s="12" t="s">
        <v>797</v>
      </c>
      <c r="E1806" s="12" t="s">
        <v>809</v>
      </c>
      <c r="F1806" s="12" t="s">
        <v>799</v>
      </c>
      <c r="G1806" s="55">
        <v>5370</v>
      </c>
      <c r="H1806" s="55">
        <v>9764</v>
      </c>
      <c r="I1806" s="2" t="b">
        <f t="shared" si="29"/>
        <v>0</v>
      </c>
    </row>
    <row r="1807" spans="2:9" x14ac:dyDescent="0.25">
      <c r="B1807" s="161">
        <v>40985</v>
      </c>
      <c r="C1807" s="12" t="s">
        <v>805</v>
      </c>
      <c r="D1807" s="12" t="s">
        <v>797</v>
      </c>
      <c r="E1807" s="12" t="s">
        <v>607</v>
      </c>
      <c r="F1807" s="12" t="s">
        <v>799</v>
      </c>
      <c r="G1807" s="55">
        <v>6363</v>
      </c>
      <c r="H1807" s="55">
        <v>6806</v>
      </c>
      <c r="I1807" s="2" t="b">
        <f t="shared" si="29"/>
        <v>0</v>
      </c>
    </row>
    <row r="1808" spans="2:9" x14ac:dyDescent="0.25">
      <c r="B1808" s="161">
        <v>41164</v>
      </c>
      <c r="C1808" s="12" t="s">
        <v>792</v>
      </c>
      <c r="D1808" s="12" t="s">
        <v>801</v>
      </c>
      <c r="E1808" s="12" t="s">
        <v>487</v>
      </c>
      <c r="F1808" s="12" t="s">
        <v>799</v>
      </c>
      <c r="G1808" s="55">
        <v>974</v>
      </c>
      <c r="H1808" s="55">
        <v>2165</v>
      </c>
      <c r="I1808" s="2" t="b">
        <f t="shared" si="29"/>
        <v>0</v>
      </c>
    </row>
    <row r="1809" spans="2:9" x14ac:dyDescent="0.25">
      <c r="B1809" s="161">
        <v>41260</v>
      </c>
      <c r="C1809" s="12" t="s">
        <v>805</v>
      </c>
      <c r="D1809" s="12" t="s">
        <v>797</v>
      </c>
      <c r="E1809" s="12" t="s">
        <v>803</v>
      </c>
      <c r="F1809" s="12" t="s">
        <v>791</v>
      </c>
      <c r="G1809" s="55">
        <v>1694</v>
      </c>
      <c r="H1809" s="55">
        <v>4579</v>
      </c>
      <c r="I1809" s="2" t="b">
        <f t="shared" si="29"/>
        <v>0</v>
      </c>
    </row>
    <row r="1810" spans="2:9" x14ac:dyDescent="0.25">
      <c r="B1810" s="161">
        <v>41276</v>
      </c>
      <c r="C1810" s="12" t="s">
        <v>790</v>
      </c>
      <c r="D1810" s="12" t="s">
        <v>801</v>
      </c>
      <c r="E1810" s="12" t="s">
        <v>806</v>
      </c>
      <c r="F1810" s="12" t="s">
        <v>799</v>
      </c>
      <c r="G1810" s="55">
        <v>1361</v>
      </c>
      <c r="H1810" s="55">
        <v>1815</v>
      </c>
      <c r="I1810" s="2" t="b">
        <f t="shared" si="29"/>
        <v>0</v>
      </c>
    </row>
    <row r="1811" spans="2:9" x14ac:dyDescent="0.25">
      <c r="B1811" s="161">
        <v>41081</v>
      </c>
      <c r="C1811" s="12" t="s">
        <v>790</v>
      </c>
      <c r="D1811" s="12" t="s">
        <v>457</v>
      </c>
      <c r="E1811" s="12" t="s">
        <v>808</v>
      </c>
      <c r="F1811" s="12" t="s">
        <v>796</v>
      </c>
      <c r="G1811" s="55">
        <v>286</v>
      </c>
      <c r="H1811" s="55">
        <v>663</v>
      </c>
      <c r="I1811" s="2" t="b">
        <f t="shared" si="29"/>
        <v>0</v>
      </c>
    </row>
    <row r="1812" spans="2:9" x14ac:dyDescent="0.25">
      <c r="B1812" s="161">
        <v>40989</v>
      </c>
      <c r="C1812" s="12" t="s">
        <v>792</v>
      </c>
      <c r="D1812" s="12" t="s">
        <v>797</v>
      </c>
      <c r="E1812" s="12" t="s">
        <v>795</v>
      </c>
      <c r="F1812" s="12" t="s">
        <v>794</v>
      </c>
      <c r="G1812" s="55">
        <v>4071</v>
      </c>
      <c r="H1812" s="55">
        <v>7019</v>
      </c>
      <c r="I1812" s="2" t="b">
        <f t="shared" si="29"/>
        <v>0</v>
      </c>
    </row>
    <row r="1813" spans="2:9" x14ac:dyDescent="0.25">
      <c r="B1813" s="161">
        <v>41529</v>
      </c>
      <c r="C1813" s="12" t="s">
        <v>805</v>
      </c>
      <c r="D1813" s="12" t="s">
        <v>797</v>
      </c>
      <c r="E1813" s="12" t="s">
        <v>803</v>
      </c>
      <c r="F1813" s="12" t="s">
        <v>796</v>
      </c>
      <c r="G1813" s="55">
        <v>2382</v>
      </c>
      <c r="H1813" s="55">
        <v>4330</v>
      </c>
      <c r="I1813" s="2" t="b">
        <f t="shared" si="29"/>
        <v>0</v>
      </c>
    </row>
    <row r="1814" spans="2:9" x14ac:dyDescent="0.25">
      <c r="B1814" s="161">
        <v>40969</v>
      </c>
      <c r="C1814" s="12" t="s">
        <v>792</v>
      </c>
      <c r="D1814" s="12" t="s">
        <v>801</v>
      </c>
      <c r="E1814" s="12" t="s">
        <v>798</v>
      </c>
      <c r="F1814" s="12" t="s">
        <v>791</v>
      </c>
      <c r="G1814" s="55">
        <v>2123</v>
      </c>
      <c r="H1814" s="55">
        <v>4937</v>
      </c>
      <c r="I1814" s="2" t="b">
        <f t="shared" si="29"/>
        <v>0</v>
      </c>
    </row>
    <row r="1815" spans="2:9" x14ac:dyDescent="0.25">
      <c r="B1815" s="161">
        <v>40983</v>
      </c>
      <c r="C1815" s="12" t="s">
        <v>802</v>
      </c>
      <c r="D1815" s="12" t="s">
        <v>797</v>
      </c>
      <c r="E1815" s="12" t="s">
        <v>798</v>
      </c>
      <c r="F1815" s="12" t="s">
        <v>791</v>
      </c>
      <c r="G1815" s="55">
        <v>3261</v>
      </c>
      <c r="H1815" s="55">
        <v>3706</v>
      </c>
      <c r="I1815" s="2" t="b">
        <f t="shared" si="29"/>
        <v>0</v>
      </c>
    </row>
    <row r="1816" spans="2:9" x14ac:dyDescent="0.25">
      <c r="B1816" s="161">
        <v>41117</v>
      </c>
      <c r="C1816" s="12" t="s">
        <v>802</v>
      </c>
      <c r="D1816" s="12" t="s">
        <v>457</v>
      </c>
      <c r="E1816" s="12" t="s">
        <v>800</v>
      </c>
      <c r="F1816" s="12" t="s">
        <v>794</v>
      </c>
      <c r="G1816" s="55">
        <v>3641</v>
      </c>
      <c r="H1816" s="55">
        <v>8092</v>
      </c>
      <c r="I1816" s="2" t="b">
        <f t="shared" si="29"/>
        <v>0</v>
      </c>
    </row>
    <row r="1817" spans="2:9" x14ac:dyDescent="0.25">
      <c r="B1817" s="161">
        <v>41263</v>
      </c>
      <c r="C1817" s="12" t="s">
        <v>790</v>
      </c>
      <c r="D1817" s="12" t="s">
        <v>457</v>
      </c>
      <c r="E1817" s="12" t="s">
        <v>607</v>
      </c>
      <c r="F1817" s="12" t="s">
        <v>791</v>
      </c>
      <c r="G1817" s="55">
        <v>654</v>
      </c>
      <c r="H1817" s="55">
        <v>1188</v>
      </c>
      <c r="I1817" s="2" t="b">
        <f t="shared" si="29"/>
        <v>0</v>
      </c>
    </row>
    <row r="1818" spans="2:9" x14ac:dyDescent="0.25">
      <c r="B1818" s="161">
        <v>40914</v>
      </c>
      <c r="C1818" s="12" t="s">
        <v>790</v>
      </c>
      <c r="D1818" s="12" t="s">
        <v>797</v>
      </c>
      <c r="E1818" s="12" t="s">
        <v>793</v>
      </c>
      <c r="F1818" s="12" t="s">
        <v>799</v>
      </c>
      <c r="G1818" s="55">
        <v>6568</v>
      </c>
      <c r="H1818" s="55">
        <v>8758</v>
      </c>
      <c r="I1818" s="2" t="b">
        <f t="shared" si="29"/>
        <v>0</v>
      </c>
    </row>
    <row r="1819" spans="2:9" x14ac:dyDescent="0.25">
      <c r="B1819" s="161">
        <v>41335</v>
      </c>
      <c r="C1819" s="12" t="s">
        <v>790</v>
      </c>
      <c r="D1819" s="12" t="s">
        <v>457</v>
      </c>
      <c r="E1819" s="12" t="s">
        <v>798</v>
      </c>
      <c r="F1819" s="12" t="s">
        <v>794</v>
      </c>
      <c r="G1819" s="55">
        <v>2779</v>
      </c>
      <c r="H1819" s="55">
        <v>2973</v>
      </c>
      <c r="I1819" s="2" t="b">
        <f t="shared" si="29"/>
        <v>0</v>
      </c>
    </row>
    <row r="1820" spans="2:9" x14ac:dyDescent="0.25">
      <c r="B1820" s="161">
        <v>41145</v>
      </c>
      <c r="C1820" s="12" t="s">
        <v>790</v>
      </c>
      <c r="D1820" s="12" t="s">
        <v>797</v>
      </c>
      <c r="E1820" s="12" t="s">
        <v>803</v>
      </c>
      <c r="F1820" s="12" t="s">
        <v>794</v>
      </c>
      <c r="G1820" s="55">
        <v>4790</v>
      </c>
      <c r="H1820" s="55">
        <v>8117</v>
      </c>
      <c r="I1820" s="2" t="b">
        <f t="shared" si="29"/>
        <v>0</v>
      </c>
    </row>
    <row r="1821" spans="2:9" x14ac:dyDescent="0.25">
      <c r="B1821" s="161">
        <v>41419</v>
      </c>
      <c r="C1821" s="12" t="s">
        <v>792</v>
      </c>
      <c r="D1821" s="12" t="s">
        <v>652</v>
      </c>
      <c r="E1821" s="12" t="s">
        <v>795</v>
      </c>
      <c r="F1821" s="12" t="s">
        <v>791</v>
      </c>
      <c r="G1821" s="55">
        <v>4316</v>
      </c>
      <c r="H1821" s="55">
        <v>7847</v>
      </c>
      <c r="I1821" s="2" t="b">
        <f t="shared" si="29"/>
        <v>0</v>
      </c>
    </row>
    <row r="1822" spans="2:9" x14ac:dyDescent="0.25">
      <c r="B1822" s="161">
        <v>41098</v>
      </c>
      <c r="C1822" s="12" t="s">
        <v>790</v>
      </c>
      <c r="D1822" s="12" t="s">
        <v>797</v>
      </c>
      <c r="E1822" s="12" t="s">
        <v>807</v>
      </c>
      <c r="F1822" s="12" t="s">
        <v>794</v>
      </c>
      <c r="G1822" s="55">
        <v>3111</v>
      </c>
      <c r="H1822" s="55">
        <v>4147</v>
      </c>
      <c r="I1822" s="2" t="b">
        <f t="shared" si="29"/>
        <v>0</v>
      </c>
    </row>
    <row r="1823" spans="2:9" x14ac:dyDescent="0.25">
      <c r="B1823" s="161">
        <v>41414</v>
      </c>
      <c r="C1823" s="12" t="s">
        <v>802</v>
      </c>
      <c r="D1823" s="12" t="s">
        <v>457</v>
      </c>
      <c r="E1823" s="12" t="s">
        <v>809</v>
      </c>
      <c r="F1823" s="12" t="s">
        <v>794</v>
      </c>
      <c r="G1823" s="55">
        <v>3634</v>
      </c>
      <c r="H1823" s="55">
        <v>8451</v>
      </c>
      <c r="I1823" s="2" t="b">
        <f t="shared" si="29"/>
        <v>0</v>
      </c>
    </row>
    <row r="1824" spans="2:9" x14ac:dyDescent="0.25">
      <c r="B1824" s="161">
        <v>41492</v>
      </c>
      <c r="C1824" s="12" t="s">
        <v>802</v>
      </c>
      <c r="D1824" s="12" t="s">
        <v>801</v>
      </c>
      <c r="E1824" s="12" t="s">
        <v>808</v>
      </c>
      <c r="F1824" s="12" t="s">
        <v>799</v>
      </c>
      <c r="G1824" s="55">
        <v>4509</v>
      </c>
      <c r="H1824" s="55">
        <v>6632</v>
      </c>
      <c r="I1824" s="2" t="b">
        <f t="shared" si="29"/>
        <v>0</v>
      </c>
    </row>
    <row r="1825" spans="2:9" x14ac:dyDescent="0.25">
      <c r="B1825" s="161">
        <v>41487</v>
      </c>
      <c r="C1825" s="12" t="s">
        <v>802</v>
      </c>
      <c r="D1825" s="12" t="s">
        <v>801</v>
      </c>
      <c r="E1825" s="12" t="s">
        <v>607</v>
      </c>
      <c r="F1825" s="12" t="s">
        <v>791</v>
      </c>
      <c r="G1825" s="55">
        <v>2936</v>
      </c>
      <c r="H1825" s="55">
        <v>3335</v>
      </c>
      <c r="I1825" s="2" t="b">
        <f t="shared" si="29"/>
        <v>0</v>
      </c>
    </row>
    <row r="1826" spans="2:9" x14ac:dyDescent="0.25">
      <c r="B1826" s="161">
        <v>41577</v>
      </c>
      <c r="C1826" s="12" t="s">
        <v>802</v>
      </c>
      <c r="D1826" s="12" t="s">
        <v>652</v>
      </c>
      <c r="E1826" s="12" t="s">
        <v>809</v>
      </c>
      <c r="F1826" s="12" t="s">
        <v>799</v>
      </c>
      <c r="G1826" s="55">
        <v>1438</v>
      </c>
      <c r="H1826" s="55">
        <v>1636</v>
      </c>
      <c r="I1826" s="2" t="b">
        <f t="shared" si="29"/>
        <v>0</v>
      </c>
    </row>
    <row r="1827" spans="2:9" x14ac:dyDescent="0.25">
      <c r="B1827" s="161">
        <v>41559</v>
      </c>
      <c r="C1827" s="12" t="s">
        <v>802</v>
      </c>
      <c r="D1827" s="12" t="s">
        <v>457</v>
      </c>
      <c r="E1827" s="12" t="s">
        <v>795</v>
      </c>
      <c r="F1827" s="12" t="s">
        <v>796</v>
      </c>
      <c r="G1827" s="55">
        <v>305</v>
      </c>
      <c r="H1827" s="55">
        <v>516</v>
      </c>
      <c r="I1827" s="2" t="b">
        <f t="shared" si="29"/>
        <v>0</v>
      </c>
    </row>
    <row r="1828" spans="2:9" x14ac:dyDescent="0.25">
      <c r="B1828" s="161">
        <v>41301</v>
      </c>
      <c r="C1828" s="12" t="s">
        <v>792</v>
      </c>
      <c r="D1828" s="12" t="s">
        <v>652</v>
      </c>
      <c r="E1828" s="12" t="s">
        <v>809</v>
      </c>
      <c r="F1828" s="12" t="s">
        <v>799</v>
      </c>
      <c r="G1828" s="55">
        <v>3576</v>
      </c>
      <c r="H1828" s="55">
        <v>4065</v>
      </c>
      <c r="I1828" s="2" t="b">
        <f t="shared" si="29"/>
        <v>0</v>
      </c>
    </row>
    <row r="1829" spans="2:9" x14ac:dyDescent="0.25">
      <c r="B1829" s="161">
        <v>41173</v>
      </c>
      <c r="C1829" s="12" t="s">
        <v>790</v>
      </c>
      <c r="D1829" s="12" t="s">
        <v>801</v>
      </c>
      <c r="E1829" s="12" t="s">
        <v>804</v>
      </c>
      <c r="F1829" s="12" t="s">
        <v>791</v>
      </c>
      <c r="G1829" s="55">
        <v>2010</v>
      </c>
      <c r="H1829" s="55">
        <v>3464</v>
      </c>
      <c r="I1829" s="2" t="b">
        <f t="shared" si="29"/>
        <v>0</v>
      </c>
    </row>
    <row r="1830" spans="2:9" x14ac:dyDescent="0.25">
      <c r="B1830" s="161">
        <v>41262</v>
      </c>
      <c r="C1830" s="12" t="s">
        <v>805</v>
      </c>
      <c r="D1830" s="12" t="s">
        <v>652</v>
      </c>
      <c r="E1830" s="12" t="s">
        <v>803</v>
      </c>
      <c r="F1830" s="12" t="s">
        <v>794</v>
      </c>
      <c r="G1830" s="55">
        <v>767</v>
      </c>
      <c r="H1830" s="55">
        <v>1322</v>
      </c>
      <c r="I1830" s="2" t="b">
        <f t="shared" si="29"/>
        <v>0</v>
      </c>
    </row>
    <row r="1831" spans="2:9" x14ac:dyDescent="0.25">
      <c r="B1831" s="161">
        <v>40990</v>
      </c>
      <c r="C1831" s="12" t="s">
        <v>802</v>
      </c>
      <c r="D1831" s="12" t="s">
        <v>801</v>
      </c>
      <c r="E1831" s="12" t="s">
        <v>607</v>
      </c>
      <c r="F1831" s="12" t="s">
        <v>796</v>
      </c>
      <c r="G1831" s="55">
        <v>4459</v>
      </c>
      <c r="H1831" s="55">
        <v>4768</v>
      </c>
      <c r="I1831" s="2" t="b">
        <f t="shared" si="29"/>
        <v>0</v>
      </c>
    </row>
    <row r="1832" spans="2:9" x14ac:dyDescent="0.25">
      <c r="B1832" s="161">
        <v>41362</v>
      </c>
      <c r="C1832" s="12" t="s">
        <v>802</v>
      </c>
      <c r="D1832" s="12" t="s">
        <v>457</v>
      </c>
      <c r="E1832" s="12" t="s">
        <v>806</v>
      </c>
      <c r="F1832" s="12" t="s">
        <v>794</v>
      </c>
      <c r="G1832" s="55">
        <v>5290</v>
      </c>
      <c r="H1832" s="55">
        <v>7053</v>
      </c>
      <c r="I1832" s="2" t="b">
        <f t="shared" si="29"/>
        <v>0</v>
      </c>
    </row>
    <row r="1833" spans="2:9" x14ac:dyDescent="0.25">
      <c r="B1833" s="161">
        <v>41158</v>
      </c>
      <c r="C1833" s="12" t="s">
        <v>790</v>
      </c>
      <c r="D1833" s="12" t="s">
        <v>797</v>
      </c>
      <c r="E1833" s="12" t="s">
        <v>798</v>
      </c>
      <c r="F1833" s="12" t="s">
        <v>796</v>
      </c>
      <c r="G1833" s="55">
        <v>1421</v>
      </c>
      <c r="H1833" s="55">
        <v>3306</v>
      </c>
      <c r="I1833" s="2" t="b">
        <f t="shared" si="29"/>
        <v>0</v>
      </c>
    </row>
    <row r="1834" spans="2:9" x14ac:dyDescent="0.25">
      <c r="B1834" s="161">
        <v>41031</v>
      </c>
      <c r="C1834" s="12" t="s">
        <v>790</v>
      </c>
      <c r="D1834" s="12" t="s">
        <v>652</v>
      </c>
      <c r="E1834" s="12" t="s">
        <v>804</v>
      </c>
      <c r="F1834" s="12" t="s">
        <v>796</v>
      </c>
      <c r="G1834" s="55">
        <v>3129</v>
      </c>
      <c r="H1834" s="55">
        <v>6951</v>
      </c>
      <c r="I1834" s="2" t="b">
        <f t="shared" si="29"/>
        <v>0</v>
      </c>
    </row>
    <row r="1835" spans="2:9" x14ac:dyDescent="0.25">
      <c r="B1835" s="161">
        <v>41296</v>
      </c>
      <c r="C1835" s="12" t="s">
        <v>792</v>
      </c>
      <c r="D1835" s="12" t="s">
        <v>457</v>
      </c>
      <c r="E1835" s="12" t="s">
        <v>487</v>
      </c>
      <c r="F1835" s="12" t="s">
        <v>796</v>
      </c>
      <c r="G1835" s="55">
        <v>2034</v>
      </c>
      <c r="H1835" s="55">
        <v>4728</v>
      </c>
      <c r="I1835" s="2" t="b">
        <f t="shared" si="29"/>
        <v>0</v>
      </c>
    </row>
    <row r="1836" spans="2:9" x14ac:dyDescent="0.25">
      <c r="B1836" s="161">
        <v>41276</v>
      </c>
      <c r="C1836" s="12" t="s">
        <v>790</v>
      </c>
      <c r="D1836" s="12" t="s">
        <v>801</v>
      </c>
      <c r="E1836" s="12" t="s">
        <v>807</v>
      </c>
      <c r="F1836" s="12" t="s">
        <v>791</v>
      </c>
      <c r="G1836" s="55">
        <v>3217</v>
      </c>
      <c r="H1836" s="55">
        <v>7150</v>
      </c>
      <c r="I1836" s="2" t="b">
        <f t="shared" si="29"/>
        <v>0</v>
      </c>
    </row>
    <row r="1837" spans="2:9" x14ac:dyDescent="0.25">
      <c r="B1837" s="161">
        <v>41347</v>
      </c>
      <c r="C1837" s="12" t="s">
        <v>802</v>
      </c>
      <c r="D1837" s="12" t="s">
        <v>652</v>
      </c>
      <c r="E1837" s="12" t="s">
        <v>798</v>
      </c>
      <c r="F1837" s="12" t="s">
        <v>791</v>
      </c>
      <c r="G1837" s="55">
        <v>1805</v>
      </c>
      <c r="H1837" s="55">
        <v>1930</v>
      </c>
      <c r="I1837" s="2" t="b">
        <f t="shared" si="29"/>
        <v>0</v>
      </c>
    </row>
    <row r="1838" spans="2:9" x14ac:dyDescent="0.25">
      <c r="B1838" s="161">
        <v>41497</v>
      </c>
      <c r="C1838" s="12" t="s">
        <v>802</v>
      </c>
      <c r="D1838" s="12" t="s">
        <v>797</v>
      </c>
      <c r="E1838" s="12" t="s">
        <v>798</v>
      </c>
      <c r="F1838" s="12" t="s">
        <v>796</v>
      </c>
      <c r="G1838" s="55">
        <v>748</v>
      </c>
      <c r="H1838" s="55">
        <v>1742</v>
      </c>
      <c r="I1838" s="2" t="b">
        <f t="shared" si="29"/>
        <v>0</v>
      </c>
    </row>
    <row r="1839" spans="2:9" x14ac:dyDescent="0.25">
      <c r="B1839" s="161">
        <v>41131</v>
      </c>
      <c r="C1839" s="12" t="s">
        <v>792</v>
      </c>
      <c r="D1839" s="12" t="s">
        <v>652</v>
      </c>
      <c r="E1839" s="12" t="s">
        <v>798</v>
      </c>
      <c r="F1839" s="12" t="s">
        <v>799</v>
      </c>
      <c r="G1839" s="55">
        <v>347</v>
      </c>
      <c r="H1839" s="55">
        <v>511</v>
      </c>
      <c r="I1839" s="2" t="b">
        <f t="shared" si="29"/>
        <v>0</v>
      </c>
    </row>
    <row r="1840" spans="2:9" x14ac:dyDescent="0.25">
      <c r="B1840" s="161">
        <v>41158</v>
      </c>
      <c r="C1840" s="12" t="s">
        <v>805</v>
      </c>
      <c r="D1840" s="12" t="s">
        <v>652</v>
      </c>
      <c r="E1840" s="12" t="s">
        <v>795</v>
      </c>
      <c r="F1840" s="12" t="s">
        <v>791</v>
      </c>
      <c r="G1840" s="55">
        <v>2808</v>
      </c>
      <c r="H1840" s="55">
        <v>4761</v>
      </c>
      <c r="I1840" s="2" t="b">
        <f t="shared" si="29"/>
        <v>0</v>
      </c>
    </row>
    <row r="1841" spans="2:9" x14ac:dyDescent="0.25">
      <c r="B1841" s="161">
        <v>41223</v>
      </c>
      <c r="C1841" s="12" t="s">
        <v>802</v>
      </c>
      <c r="D1841" s="12" t="s">
        <v>801</v>
      </c>
      <c r="E1841" s="12" t="s">
        <v>798</v>
      </c>
      <c r="F1841" s="12" t="s">
        <v>799</v>
      </c>
      <c r="G1841" s="55">
        <v>4171</v>
      </c>
      <c r="H1841" s="55">
        <v>6135</v>
      </c>
      <c r="I1841" s="2" t="b">
        <f t="shared" si="29"/>
        <v>0</v>
      </c>
    </row>
    <row r="1842" spans="2:9" x14ac:dyDescent="0.25">
      <c r="B1842" s="161">
        <v>40918</v>
      </c>
      <c r="C1842" s="12" t="s">
        <v>802</v>
      </c>
      <c r="D1842" s="12" t="s">
        <v>457</v>
      </c>
      <c r="E1842" s="12" t="s">
        <v>809</v>
      </c>
      <c r="F1842" s="12" t="s">
        <v>796</v>
      </c>
      <c r="G1842" s="55">
        <v>4121</v>
      </c>
      <c r="H1842" s="55">
        <v>6985</v>
      </c>
      <c r="I1842" s="2" t="b">
        <f t="shared" si="29"/>
        <v>0</v>
      </c>
    </row>
    <row r="1843" spans="2:9" x14ac:dyDescent="0.25">
      <c r="B1843" s="161">
        <v>41176</v>
      </c>
      <c r="C1843" s="12" t="s">
        <v>802</v>
      </c>
      <c r="D1843" s="12" t="s">
        <v>457</v>
      </c>
      <c r="E1843" s="12" t="s">
        <v>607</v>
      </c>
      <c r="F1843" s="12" t="s">
        <v>796</v>
      </c>
      <c r="G1843" s="55">
        <v>758</v>
      </c>
      <c r="H1843" s="55">
        <v>861</v>
      </c>
      <c r="I1843" s="2" t="b">
        <f t="shared" si="29"/>
        <v>0</v>
      </c>
    </row>
    <row r="1844" spans="2:9" x14ac:dyDescent="0.25">
      <c r="B1844" s="161">
        <v>41237</v>
      </c>
      <c r="C1844" s="12" t="s">
        <v>802</v>
      </c>
      <c r="D1844" s="12" t="s">
        <v>457</v>
      </c>
      <c r="E1844" s="12" t="s">
        <v>803</v>
      </c>
      <c r="F1844" s="12" t="s">
        <v>791</v>
      </c>
      <c r="G1844" s="55">
        <v>744</v>
      </c>
      <c r="H1844" s="55">
        <v>1096</v>
      </c>
      <c r="I1844" s="2" t="b">
        <f t="shared" si="29"/>
        <v>0</v>
      </c>
    </row>
    <row r="1845" spans="2:9" x14ac:dyDescent="0.25">
      <c r="B1845" s="161">
        <v>40939</v>
      </c>
      <c r="C1845" s="12" t="s">
        <v>805</v>
      </c>
      <c r="D1845" s="12" t="s">
        <v>801</v>
      </c>
      <c r="E1845" s="12" t="s">
        <v>800</v>
      </c>
      <c r="F1845" s="12" t="s">
        <v>791</v>
      </c>
      <c r="G1845" s="55">
        <v>3048</v>
      </c>
      <c r="H1845" s="55">
        <v>5542</v>
      </c>
      <c r="I1845" s="2" t="b">
        <f t="shared" si="29"/>
        <v>0</v>
      </c>
    </row>
    <row r="1846" spans="2:9" x14ac:dyDescent="0.25">
      <c r="B1846" s="161">
        <v>41390</v>
      </c>
      <c r="C1846" s="12" t="s">
        <v>805</v>
      </c>
      <c r="D1846" s="12" t="s">
        <v>457</v>
      </c>
      <c r="E1846" s="12" t="s">
        <v>793</v>
      </c>
      <c r="F1846" s="12" t="s">
        <v>791</v>
      </c>
      <c r="G1846" s="55">
        <v>317</v>
      </c>
      <c r="H1846" s="55">
        <v>738</v>
      </c>
      <c r="I1846" s="2" t="b">
        <f t="shared" si="29"/>
        <v>0</v>
      </c>
    </row>
    <row r="1847" spans="2:9" x14ac:dyDescent="0.25">
      <c r="B1847" s="161">
        <v>41168</v>
      </c>
      <c r="C1847" s="12" t="s">
        <v>790</v>
      </c>
      <c r="D1847" s="12" t="s">
        <v>652</v>
      </c>
      <c r="E1847" s="12" t="s">
        <v>803</v>
      </c>
      <c r="F1847" s="12" t="s">
        <v>791</v>
      </c>
      <c r="G1847" s="55">
        <v>2183</v>
      </c>
      <c r="H1847" s="55">
        <v>2335</v>
      </c>
      <c r="I1847" s="2" t="b">
        <f t="shared" si="29"/>
        <v>0</v>
      </c>
    </row>
    <row r="1848" spans="2:9" x14ac:dyDescent="0.25">
      <c r="B1848" s="161">
        <v>41499</v>
      </c>
      <c r="C1848" s="12" t="s">
        <v>792</v>
      </c>
      <c r="D1848" s="12" t="s">
        <v>652</v>
      </c>
      <c r="E1848" s="12" t="s">
        <v>795</v>
      </c>
      <c r="F1848" s="12" t="s">
        <v>794</v>
      </c>
      <c r="G1848" s="55">
        <v>4570</v>
      </c>
      <c r="H1848" s="55">
        <v>5194</v>
      </c>
      <c r="I1848" s="2" t="b">
        <f t="shared" si="29"/>
        <v>0</v>
      </c>
    </row>
    <row r="1849" spans="2:9" x14ac:dyDescent="0.25">
      <c r="B1849" s="161">
        <v>41396</v>
      </c>
      <c r="C1849" s="12" t="s">
        <v>802</v>
      </c>
      <c r="D1849" s="12" t="s">
        <v>652</v>
      </c>
      <c r="E1849" s="12" t="s">
        <v>808</v>
      </c>
      <c r="F1849" s="12" t="s">
        <v>791</v>
      </c>
      <c r="G1849" s="55">
        <v>1629</v>
      </c>
      <c r="H1849" s="55">
        <v>4403</v>
      </c>
      <c r="I1849" s="2" t="b">
        <f t="shared" si="29"/>
        <v>0</v>
      </c>
    </row>
    <row r="1850" spans="2:9" x14ac:dyDescent="0.25">
      <c r="B1850" s="161">
        <v>41416</v>
      </c>
      <c r="C1850" s="12" t="s">
        <v>802</v>
      </c>
      <c r="D1850" s="12" t="s">
        <v>801</v>
      </c>
      <c r="E1850" s="12" t="s">
        <v>803</v>
      </c>
      <c r="F1850" s="12" t="s">
        <v>791</v>
      </c>
      <c r="G1850" s="55">
        <v>1445</v>
      </c>
      <c r="H1850" s="55">
        <v>3903</v>
      </c>
      <c r="I1850" s="2" t="b">
        <f t="shared" si="29"/>
        <v>0</v>
      </c>
    </row>
    <row r="1851" spans="2:9" x14ac:dyDescent="0.25">
      <c r="B1851" s="161">
        <v>41330</v>
      </c>
      <c r="C1851" s="12" t="s">
        <v>790</v>
      </c>
      <c r="D1851" s="12" t="s">
        <v>797</v>
      </c>
      <c r="E1851" s="12" t="s">
        <v>607</v>
      </c>
      <c r="F1851" s="12" t="s">
        <v>794</v>
      </c>
      <c r="G1851" s="55">
        <v>4688</v>
      </c>
      <c r="H1851" s="55">
        <v>8084</v>
      </c>
      <c r="I1851" s="2" t="b">
        <f t="shared" si="29"/>
        <v>0</v>
      </c>
    </row>
    <row r="1852" spans="2:9" x14ac:dyDescent="0.25">
      <c r="B1852" s="161">
        <v>41211</v>
      </c>
      <c r="C1852" s="12" t="s">
        <v>805</v>
      </c>
      <c r="D1852" s="12" t="s">
        <v>797</v>
      </c>
      <c r="E1852" s="12" t="s">
        <v>808</v>
      </c>
      <c r="F1852" s="12" t="s">
        <v>796</v>
      </c>
      <c r="G1852" s="55">
        <v>6206</v>
      </c>
      <c r="H1852" s="55">
        <v>9124</v>
      </c>
      <c r="I1852" s="2" t="b">
        <f t="shared" si="29"/>
        <v>0</v>
      </c>
    </row>
    <row r="1853" spans="2:9" x14ac:dyDescent="0.25">
      <c r="B1853" s="161">
        <v>41495</v>
      </c>
      <c r="C1853" s="12" t="s">
        <v>792</v>
      </c>
      <c r="D1853" s="12" t="s">
        <v>457</v>
      </c>
      <c r="E1853" s="12" t="s">
        <v>793</v>
      </c>
      <c r="F1853" s="12" t="s">
        <v>794</v>
      </c>
      <c r="G1853" s="55">
        <v>1951</v>
      </c>
      <c r="H1853" s="55">
        <v>2218</v>
      </c>
      <c r="I1853" s="2" t="b">
        <f t="shared" si="29"/>
        <v>1</v>
      </c>
    </row>
    <row r="1854" spans="2:9" x14ac:dyDescent="0.25">
      <c r="B1854" s="161">
        <v>41516</v>
      </c>
      <c r="C1854" s="12" t="s">
        <v>790</v>
      </c>
      <c r="D1854" s="12" t="s">
        <v>457</v>
      </c>
      <c r="E1854" s="12" t="s">
        <v>795</v>
      </c>
      <c r="F1854" s="12" t="s">
        <v>794</v>
      </c>
      <c r="G1854" s="55">
        <v>3132</v>
      </c>
      <c r="H1854" s="55">
        <v>7283</v>
      </c>
      <c r="I1854" s="2" t="b">
        <f t="shared" si="29"/>
        <v>0</v>
      </c>
    </row>
    <row r="1855" spans="2:9" x14ac:dyDescent="0.25">
      <c r="B1855" s="161">
        <v>41378</v>
      </c>
      <c r="C1855" s="12" t="s">
        <v>792</v>
      </c>
      <c r="D1855" s="12" t="s">
        <v>797</v>
      </c>
      <c r="E1855" s="12" t="s">
        <v>798</v>
      </c>
      <c r="F1855" s="12" t="s">
        <v>791</v>
      </c>
      <c r="G1855" s="55">
        <v>2824</v>
      </c>
      <c r="H1855" s="55">
        <v>6274</v>
      </c>
      <c r="I1855" s="2" t="b">
        <f t="shared" si="29"/>
        <v>0</v>
      </c>
    </row>
    <row r="1856" spans="2:9" x14ac:dyDescent="0.25">
      <c r="B1856" s="161">
        <v>41449</v>
      </c>
      <c r="C1856" s="12" t="s">
        <v>792</v>
      </c>
      <c r="D1856" s="12" t="s">
        <v>457</v>
      </c>
      <c r="E1856" s="12" t="s">
        <v>800</v>
      </c>
      <c r="F1856" s="12" t="s">
        <v>791</v>
      </c>
      <c r="G1856" s="55">
        <v>2730</v>
      </c>
      <c r="H1856" s="55">
        <v>7379</v>
      </c>
      <c r="I1856" s="2" t="b">
        <f t="shared" si="29"/>
        <v>0</v>
      </c>
    </row>
    <row r="1857" spans="2:9" x14ac:dyDescent="0.25">
      <c r="B1857" s="161">
        <v>41548</v>
      </c>
      <c r="C1857" s="12" t="s">
        <v>790</v>
      </c>
      <c r="D1857" s="12" t="s">
        <v>652</v>
      </c>
      <c r="E1857" s="12" t="s">
        <v>808</v>
      </c>
      <c r="F1857" s="12" t="s">
        <v>791</v>
      </c>
      <c r="G1857" s="55">
        <v>4539</v>
      </c>
      <c r="H1857" s="55">
        <v>8254</v>
      </c>
      <c r="I1857" s="2" t="b">
        <f t="shared" si="29"/>
        <v>0</v>
      </c>
    </row>
    <row r="1858" spans="2:9" x14ac:dyDescent="0.25">
      <c r="B1858" s="161">
        <v>41528</v>
      </c>
      <c r="C1858" s="12" t="s">
        <v>792</v>
      </c>
      <c r="D1858" s="12" t="s">
        <v>457</v>
      </c>
      <c r="E1858" s="12" t="s">
        <v>808</v>
      </c>
      <c r="F1858" s="12" t="s">
        <v>796</v>
      </c>
      <c r="G1858" s="55">
        <v>2990</v>
      </c>
      <c r="H1858" s="55">
        <v>8083</v>
      </c>
      <c r="I1858" s="2" t="b">
        <f t="shared" si="29"/>
        <v>0</v>
      </c>
    </row>
    <row r="1859" spans="2:9" x14ac:dyDescent="0.25">
      <c r="B1859" s="161">
        <v>41528</v>
      </c>
      <c r="C1859" s="12" t="s">
        <v>792</v>
      </c>
      <c r="D1859" s="12" t="s">
        <v>652</v>
      </c>
      <c r="E1859" s="12" t="s">
        <v>795</v>
      </c>
      <c r="F1859" s="12" t="s">
        <v>796</v>
      </c>
      <c r="G1859" s="55">
        <v>5650</v>
      </c>
      <c r="H1859" s="55">
        <v>8310</v>
      </c>
      <c r="I1859" s="2" t="b">
        <f t="shared" si="29"/>
        <v>0</v>
      </c>
    </row>
    <row r="1860" spans="2:9" x14ac:dyDescent="0.25">
      <c r="B1860" s="161">
        <v>41002</v>
      </c>
      <c r="C1860" s="12" t="s">
        <v>792</v>
      </c>
      <c r="D1860" s="12" t="s">
        <v>457</v>
      </c>
      <c r="E1860" s="12" t="s">
        <v>809</v>
      </c>
      <c r="F1860" s="12" t="s">
        <v>796</v>
      </c>
      <c r="G1860" s="55">
        <v>733</v>
      </c>
      <c r="H1860" s="55">
        <v>1980</v>
      </c>
      <c r="I1860" s="2" t="b">
        <f t="shared" si="29"/>
        <v>0</v>
      </c>
    </row>
    <row r="1861" spans="2:9" x14ac:dyDescent="0.25">
      <c r="B1861" s="161">
        <v>41083</v>
      </c>
      <c r="C1861" s="12" t="s">
        <v>805</v>
      </c>
      <c r="D1861" s="12" t="s">
        <v>457</v>
      </c>
      <c r="E1861" s="12" t="s">
        <v>804</v>
      </c>
      <c r="F1861" s="12" t="s">
        <v>791</v>
      </c>
      <c r="G1861" s="55">
        <v>4778</v>
      </c>
      <c r="H1861" s="55">
        <v>7025</v>
      </c>
      <c r="I1861" s="2" t="b">
        <f t="shared" si="29"/>
        <v>0</v>
      </c>
    </row>
    <row r="1862" spans="2:9" x14ac:dyDescent="0.25">
      <c r="B1862" s="161">
        <v>41033</v>
      </c>
      <c r="C1862" s="12" t="s">
        <v>805</v>
      </c>
      <c r="D1862" s="12" t="s">
        <v>801</v>
      </c>
      <c r="E1862" s="12" t="s">
        <v>803</v>
      </c>
      <c r="F1862" s="12" t="s">
        <v>794</v>
      </c>
      <c r="G1862" s="55">
        <v>2882</v>
      </c>
      <c r="H1862" s="55">
        <v>7787</v>
      </c>
      <c r="I1862" s="2" t="b">
        <f t="shared" si="29"/>
        <v>0</v>
      </c>
    </row>
    <row r="1863" spans="2:9" x14ac:dyDescent="0.25">
      <c r="B1863" s="161">
        <v>41610</v>
      </c>
      <c r="C1863" s="12" t="s">
        <v>805</v>
      </c>
      <c r="D1863" s="12" t="s">
        <v>801</v>
      </c>
      <c r="E1863" s="12" t="s">
        <v>798</v>
      </c>
      <c r="F1863" s="12" t="s">
        <v>791</v>
      </c>
      <c r="G1863" s="55">
        <v>2966</v>
      </c>
      <c r="H1863" s="55">
        <v>6895</v>
      </c>
      <c r="I1863" s="2" t="b">
        <f t="shared" ref="I1863:I1926" si="30">AND($K$9=C1863,$L$9=D1863,$M$9=F1863)</f>
        <v>0</v>
      </c>
    </row>
    <row r="1864" spans="2:9" x14ac:dyDescent="0.25">
      <c r="B1864" s="161">
        <v>41093</v>
      </c>
      <c r="C1864" s="12" t="s">
        <v>790</v>
      </c>
      <c r="D1864" s="12" t="s">
        <v>797</v>
      </c>
      <c r="E1864" s="12" t="s">
        <v>804</v>
      </c>
      <c r="F1864" s="12" t="s">
        <v>794</v>
      </c>
      <c r="G1864" s="55">
        <v>1266</v>
      </c>
      <c r="H1864" s="55">
        <v>2814</v>
      </c>
      <c r="I1864" s="2" t="b">
        <f t="shared" si="30"/>
        <v>0</v>
      </c>
    </row>
    <row r="1865" spans="2:9" x14ac:dyDescent="0.25">
      <c r="B1865" s="161">
        <v>41543</v>
      </c>
      <c r="C1865" s="12" t="s">
        <v>802</v>
      </c>
      <c r="D1865" s="12" t="s">
        <v>457</v>
      </c>
      <c r="E1865" s="12" t="s">
        <v>807</v>
      </c>
      <c r="F1865" s="12" t="s">
        <v>799</v>
      </c>
      <c r="G1865" s="55">
        <v>405</v>
      </c>
      <c r="H1865" s="55">
        <v>939</v>
      </c>
      <c r="I1865" s="2" t="b">
        <f t="shared" si="30"/>
        <v>0</v>
      </c>
    </row>
    <row r="1866" spans="2:9" x14ac:dyDescent="0.25">
      <c r="B1866" s="161">
        <v>41581</v>
      </c>
      <c r="C1866" s="12" t="s">
        <v>792</v>
      </c>
      <c r="D1866" s="12" t="s">
        <v>797</v>
      </c>
      <c r="E1866" s="12" t="s">
        <v>487</v>
      </c>
      <c r="F1866" s="12" t="s">
        <v>796</v>
      </c>
      <c r="G1866" s="55">
        <v>786</v>
      </c>
      <c r="H1866" s="55">
        <v>1429</v>
      </c>
      <c r="I1866" s="2" t="b">
        <f t="shared" si="30"/>
        <v>0</v>
      </c>
    </row>
    <row r="1867" spans="2:9" x14ac:dyDescent="0.25">
      <c r="B1867" s="161">
        <v>41296</v>
      </c>
      <c r="C1867" s="12" t="s">
        <v>792</v>
      </c>
      <c r="D1867" s="12" t="s">
        <v>457</v>
      </c>
      <c r="E1867" s="12" t="s">
        <v>806</v>
      </c>
      <c r="F1867" s="12" t="s">
        <v>794</v>
      </c>
      <c r="G1867" s="55">
        <v>2673</v>
      </c>
      <c r="H1867" s="55">
        <v>6217</v>
      </c>
      <c r="I1867" s="2" t="b">
        <f t="shared" si="30"/>
        <v>1</v>
      </c>
    </row>
    <row r="1868" spans="2:9" x14ac:dyDescent="0.25">
      <c r="B1868" s="161">
        <v>41274</v>
      </c>
      <c r="C1868" s="12" t="s">
        <v>790</v>
      </c>
      <c r="D1868" s="12" t="s">
        <v>457</v>
      </c>
      <c r="E1868" s="12" t="s">
        <v>807</v>
      </c>
      <c r="F1868" s="12" t="s">
        <v>796</v>
      </c>
      <c r="G1868" s="55">
        <v>6969</v>
      </c>
      <c r="H1868" s="55">
        <v>7455</v>
      </c>
      <c r="I1868" s="2" t="b">
        <f t="shared" si="30"/>
        <v>0</v>
      </c>
    </row>
    <row r="1869" spans="2:9" x14ac:dyDescent="0.25">
      <c r="B1869" s="161">
        <v>41041</v>
      </c>
      <c r="C1869" s="12" t="s">
        <v>802</v>
      </c>
      <c r="D1869" s="12" t="s">
        <v>801</v>
      </c>
      <c r="E1869" s="12" t="s">
        <v>806</v>
      </c>
      <c r="F1869" s="12" t="s">
        <v>796</v>
      </c>
      <c r="G1869" s="55">
        <v>4597</v>
      </c>
      <c r="H1869" s="55">
        <v>8358</v>
      </c>
      <c r="I1869" s="2" t="b">
        <f t="shared" si="30"/>
        <v>0</v>
      </c>
    </row>
    <row r="1870" spans="2:9" x14ac:dyDescent="0.25">
      <c r="B1870" s="161">
        <v>41160</v>
      </c>
      <c r="C1870" s="12" t="s">
        <v>802</v>
      </c>
      <c r="D1870" s="12" t="s">
        <v>652</v>
      </c>
      <c r="E1870" s="12" t="s">
        <v>800</v>
      </c>
      <c r="F1870" s="12" t="s">
        <v>799</v>
      </c>
      <c r="G1870" s="55">
        <v>1850</v>
      </c>
      <c r="H1870" s="55">
        <v>2721</v>
      </c>
      <c r="I1870" s="2" t="b">
        <f t="shared" si="30"/>
        <v>0</v>
      </c>
    </row>
    <row r="1871" spans="2:9" x14ac:dyDescent="0.25">
      <c r="B1871" s="161">
        <v>41322</v>
      </c>
      <c r="C1871" s="12" t="s">
        <v>790</v>
      </c>
      <c r="D1871" s="12" t="s">
        <v>797</v>
      </c>
      <c r="E1871" s="12" t="s">
        <v>804</v>
      </c>
      <c r="F1871" s="12" t="s">
        <v>796</v>
      </c>
      <c r="G1871" s="55">
        <v>1350</v>
      </c>
      <c r="H1871" s="55">
        <v>3000</v>
      </c>
      <c r="I1871" s="2" t="b">
        <f t="shared" si="30"/>
        <v>0</v>
      </c>
    </row>
    <row r="1872" spans="2:9" x14ac:dyDescent="0.25">
      <c r="B1872" s="161">
        <v>41246</v>
      </c>
      <c r="C1872" s="12" t="s">
        <v>792</v>
      </c>
      <c r="D1872" s="12" t="s">
        <v>801</v>
      </c>
      <c r="E1872" s="12" t="s">
        <v>795</v>
      </c>
      <c r="F1872" s="12" t="s">
        <v>791</v>
      </c>
      <c r="G1872" s="55">
        <v>2045</v>
      </c>
      <c r="H1872" s="55">
        <v>3465</v>
      </c>
      <c r="I1872" s="2" t="b">
        <f t="shared" si="30"/>
        <v>0</v>
      </c>
    </row>
    <row r="1873" spans="2:9" x14ac:dyDescent="0.25">
      <c r="B1873" s="161">
        <v>41577</v>
      </c>
      <c r="C1873" s="12" t="s">
        <v>805</v>
      </c>
      <c r="D1873" s="12" t="s">
        <v>457</v>
      </c>
      <c r="E1873" s="12" t="s">
        <v>800</v>
      </c>
      <c r="F1873" s="12" t="s">
        <v>796</v>
      </c>
      <c r="G1873" s="55">
        <v>4305</v>
      </c>
      <c r="H1873" s="55">
        <v>7825</v>
      </c>
      <c r="I1873" s="2" t="b">
        <f t="shared" si="30"/>
        <v>0</v>
      </c>
    </row>
    <row r="1874" spans="2:9" x14ac:dyDescent="0.25">
      <c r="B1874" s="161">
        <v>41635</v>
      </c>
      <c r="C1874" s="12" t="s">
        <v>805</v>
      </c>
      <c r="D1874" s="12" t="s">
        <v>652</v>
      </c>
      <c r="E1874" s="12" t="s">
        <v>808</v>
      </c>
      <c r="F1874" s="12" t="s">
        <v>799</v>
      </c>
      <c r="G1874" s="55">
        <v>1919</v>
      </c>
      <c r="H1874" s="55">
        <v>3254</v>
      </c>
      <c r="I1874" s="2" t="b">
        <f t="shared" si="30"/>
        <v>0</v>
      </c>
    </row>
    <row r="1875" spans="2:9" x14ac:dyDescent="0.25">
      <c r="B1875" s="161">
        <v>41287</v>
      </c>
      <c r="C1875" s="12" t="s">
        <v>792</v>
      </c>
      <c r="D1875" s="12" t="s">
        <v>457</v>
      </c>
      <c r="E1875" s="12" t="s">
        <v>607</v>
      </c>
      <c r="F1875" s="12" t="s">
        <v>799</v>
      </c>
      <c r="G1875" s="55">
        <v>5390</v>
      </c>
      <c r="H1875" s="55">
        <v>6124</v>
      </c>
      <c r="I1875" s="2" t="b">
        <f t="shared" si="30"/>
        <v>0</v>
      </c>
    </row>
    <row r="1876" spans="2:9" x14ac:dyDescent="0.25">
      <c r="B1876" s="161">
        <v>41341</v>
      </c>
      <c r="C1876" s="12" t="s">
        <v>792</v>
      </c>
      <c r="D1876" s="12" t="s">
        <v>652</v>
      </c>
      <c r="E1876" s="12" t="s">
        <v>808</v>
      </c>
      <c r="F1876" s="12" t="s">
        <v>799</v>
      </c>
      <c r="G1876" s="55">
        <v>4016</v>
      </c>
      <c r="H1876" s="55">
        <v>9338</v>
      </c>
      <c r="I1876" s="2" t="b">
        <f t="shared" si="30"/>
        <v>0</v>
      </c>
    </row>
    <row r="1877" spans="2:9" x14ac:dyDescent="0.25">
      <c r="B1877" s="161">
        <v>41536</v>
      </c>
      <c r="C1877" s="12" t="s">
        <v>802</v>
      </c>
      <c r="D1877" s="12" t="s">
        <v>652</v>
      </c>
      <c r="E1877" s="12" t="s">
        <v>795</v>
      </c>
      <c r="F1877" s="12" t="s">
        <v>794</v>
      </c>
      <c r="G1877" s="55">
        <v>6887</v>
      </c>
      <c r="H1877" s="55">
        <v>7825</v>
      </c>
      <c r="I1877" s="2" t="b">
        <f t="shared" si="30"/>
        <v>0</v>
      </c>
    </row>
    <row r="1878" spans="2:9" x14ac:dyDescent="0.25">
      <c r="B1878" s="161">
        <v>41527</v>
      </c>
      <c r="C1878" s="12" t="s">
        <v>802</v>
      </c>
      <c r="D1878" s="12" t="s">
        <v>797</v>
      </c>
      <c r="E1878" s="12" t="s">
        <v>793</v>
      </c>
      <c r="F1878" s="12" t="s">
        <v>796</v>
      </c>
      <c r="G1878" s="55">
        <v>2996</v>
      </c>
      <c r="H1878" s="55">
        <v>3995</v>
      </c>
      <c r="I1878" s="2" t="b">
        <f t="shared" si="30"/>
        <v>0</v>
      </c>
    </row>
    <row r="1879" spans="2:9" x14ac:dyDescent="0.25">
      <c r="B1879" s="161">
        <v>41068</v>
      </c>
      <c r="C1879" s="12" t="s">
        <v>792</v>
      </c>
      <c r="D1879" s="12" t="s">
        <v>801</v>
      </c>
      <c r="E1879" s="12" t="s">
        <v>607</v>
      </c>
      <c r="F1879" s="12" t="s">
        <v>799</v>
      </c>
      <c r="G1879" s="55">
        <v>4652</v>
      </c>
      <c r="H1879" s="55">
        <v>7884</v>
      </c>
      <c r="I1879" s="2" t="b">
        <f t="shared" si="30"/>
        <v>0</v>
      </c>
    </row>
    <row r="1880" spans="2:9" x14ac:dyDescent="0.25">
      <c r="B1880" s="161">
        <v>41416</v>
      </c>
      <c r="C1880" s="12" t="s">
        <v>805</v>
      </c>
      <c r="D1880" s="12" t="s">
        <v>457</v>
      </c>
      <c r="E1880" s="12" t="s">
        <v>803</v>
      </c>
      <c r="F1880" s="12" t="s">
        <v>799</v>
      </c>
      <c r="G1880" s="55">
        <v>777</v>
      </c>
      <c r="H1880" s="55">
        <v>1727</v>
      </c>
      <c r="I1880" s="2" t="b">
        <f t="shared" si="30"/>
        <v>0</v>
      </c>
    </row>
    <row r="1881" spans="2:9" x14ac:dyDescent="0.25">
      <c r="B1881" s="161">
        <v>41032</v>
      </c>
      <c r="C1881" s="12" t="s">
        <v>802</v>
      </c>
      <c r="D1881" s="12" t="s">
        <v>457</v>
      </c>
      <c r="E1881" s="12" t="s">
        <v>809</v>
      </c>
      <c r="F1881" s="12" t="s">
        <v>794</v>
      </c>
      <c r="G1881" s="55">
        <v>533</v>
      </c>
      <c r="H1881" s="55">
        <v>783</v>
      </c>
      <c r="I1881" s="2" t="b">
        <f t="shared" si="30"/>
        <v>0</v>
      </c>
    </row>
    <row r="1882" spans="2:9" x14ac:dyDescent="0.25">
      <c r="B1882" s="161">
        <v>41534</v>
      </c>
      <c r="C1882" s="12" t="s">
        <v>802</v>
      </c>
      <c r="D1882" s="12" t="s">
        <v>797</v>
      </c>
      <c r="E1882" s="12" t="s">
        <v>803</v>
      </c>
      <c r="F1882" s="12" t="s">
        <v>791</v>
      </c>
      <c r="G1882" s="55">
        <v>915</v>
      </c>
      <c r="H1882" s="55">
        <v>2469</v>
      </c>
      <c r="I1882" s="2" t="b">
        <f t="shared" si="30"/>
        <v>0</v>
      </c>
    </row>
    <row r="1883" spans="2:9" x14ac:dyDescent="0.25">
      <c r="B1883" s="161">
        <v>41176</v>
      </c>
      <c r="C1883" s="12" t="s">
        <v>792</v>
      </c>
      <c r="D1883" s="12" t="s">
        <v>797</v>
      </c>
      <c r="E1883" s="12" t="s">
        <v>487</v>
      </c>
      <c r="F1883" s="12" t="s">
        <v>799</v>
      </c>
      <c r="G1883" s="55">
        <v>2728</v>
      </c>
      <c r="H1883" s="55">
        <v>3636</v>
      </c>
      <c r="I1883" s="2" t="b">
        <f t="shared" si="30"/>
        <v>0</v>
      </c>
    </row>
    <row r="1884" spans="2:9" x14ac:dyDescent="0.25">
      <c r="B1884" s="161">
        <v>41397</v>
      </c>
      <c r="C1884" s="12" t="s">
        <v>792</v>
      </c>
      <c r="D1884" s="12" t="s">
        <v>797</v>
      </c>
      <c r="E1884" s="12" t="s">
        <v>809</v>
      </c>
      <c r="F1884" s="12" t="s">
        <v>799</v>
      </c>
      <c r="G1884" s="55">
        <v>4470</v>
      </c>
      <c r="H1884" s="55">
        <v>7575</v>
      </c>
      <c r="I1884" s="2" t="b">
        <f t="shared" si="30"/>
        <v>0</v>
      </c>
    </row>
    <row r="1885" spans="2:9" x14ac:dyDescent="0.25">
      <c r="B1885" s="161">
        <v>41626</v>
      </c>
      <c r="C1885" s="12" t="s">
        <v>790</v>
      </c>
      <c r="D1885" s="12" t="s">
        <v>801</v>
      </c>
      <c r="E1885" s="12" t="s">
        <v>793</v>
      </c>
      <c r="F1885" s="12" t="s">
        <v>791</v>
      </c>
      <c r="G1885" s="55">
        <v>3555</v>
      </c>
      <c r="H1885" s="55">
        <v>9605</v>
      </c>
      <c r="I1885" s="2" t="b">
        <f t="shared" si="30"/>
        <v>0</v>
      </c>
    </row>
    <row r="1886" spans="2:9" x14ac:dyDescent="0.25">
      <c r="B1886" s="161">
        <v>41013</v>
      </c>
      <c r="C1886" s="12" t="s">
        <v>792</v>
      </c>
      <c r="D1886" s="12" t="s">
        <v>457</v>
      </c>
      <c r="E1886" s="12" t="s">
        <v>807</v>
      </c>
      <c r="F1886" s="12" t="s">
        <v>791</v>
      </c>
      <c r="G1886" s="55">
        <v>447</v>
      </c>
      <c r="H1886" s="55">
        <v>1209</v>
      </c>
      <c r="I1886" s="2" t="b">
        <f t="shared" si="30"/>
        <v>0</v>
      </c>
    </row>
    <row r="1887" spans="2:9" x14ac:dyDescent="0.25">
      <c r="B1887" s="161">
        <v>41481</v>
      </c>
      <c r="C1887" s="12" t="s">
        <v>792</v>
      </c>
      <c r="D1887" s="12" t="s">
        <v>457</v>
      </c>
      <c r="E1887" s="12" t="s">
        <v>803</v>
      </c>
      <c r="F1887" s="12" t="s">
        <v>791</v>
      </c>
      <c r="G1887" s="55">
        <v>3562</v>
      </c>
      <c r="H1887" s="55">
        <v>6478</v>
      </c>
      <c r="I1887" s="2" t="b">
        <f t="shared" si="30"/>
        <v>0</v>
      </c>
    </row>
    <row r="1888" spans="2:9" x14ac:dyDescent="0.25">
      <c r="B1888" s="161">
        <v>41600</v>
      </c>
      <c r="C1888" s="12" t="s">
        <v>790</v>
      </c>
      <c r="D1888" s="12" t="s">
        <v>801</v>
      </c>
      <c r="E1888" s="12" t="s">
        <v>793</v>
      </c>
      <c r="F1888" s="12" t="s">
        <v>796</v>
      </c>
      <c r="G1888" s="55">
        <v>5275</v>
      </c>
      <c r="H1888" s="55">
        <v>5993</v>
      </c>
      <c r="I1888" s="2" t="b">
        <f t="shared" si="30"/>
        <v>0</v>
      </c>
    </row>
    <row r="1889" spans="2:9" x14ac:dyDescent="0.25">
      <c r="B1889" s="161">
        <v>41030</v>
      </c>
      <c r="C1889" s="12" t="s">
        <v>805</v>
      </c>
      <c r="D1889" s="12" t="s">
        <v>652</v>
      </c>
      <c r="E1889" s="12" t="s">
        <v>798</v>
      </c>
      <c r="F1889" s="12" t="s">
        <v>799</v>
      </c>
      <c r="G1889" s="55">
        <v>3750</v>
      </c>
      <c r="H1889" s="55">
        <v>8721</v>
      </c>
      <c r="I1889" s="2" t="b">
        <f t="shared" si="30"/>
        <v>0</v>
      </c>
    </row>
    <row r="1890" spans="2:9" x14ac:dyDescent="0.25">
      <c r="B1890" s="161">
        <v>41083</v>
      </c>
      <c r="C1890" s="12" t="s">
        <v>792</v>
      </c>
      <c r="D1890" s="12" t="s">
        <v>797</v>
      </c>
      <c r="E1890" s="12" t="s">
        <v>487</v>
      </c>
      <c r="F1890" s="12" t="s">
        <v>799</v>
      </c>
      <c r="G1890" s="55">
        <v>1198</v>
      </c>
      <c r="H1890" s="55">
        <v>1281</v>
      </c>
      <c r="I1890" s="2" t="b">
        <f t="shared" si="30"/>
        <v>0</v>
      </c>
    </row>
    <row r="1891" spans="2:9" x14ac:dyDescent="0.25">
      <c r="B1891" s="161">
        <v>41577</v>
      </c>
      <c r="C1891" s="12" t="s">
        <v>790</v>
      </c>
      <c r="D1891" s="12" t="s">
        <v>797</v>
      </c>
      <c r="E1891" s="12" t="s">
        <v>795</v>
      </c>
      <c r="F1891" s="12" t="s">
        <v>791</v>
      </c>
      <c r="G1891" s="55">
        <v>5629</v>
      </c>
      <c r="H1891" s="55">
        <v>9539</v>
      </c>
      <c r="I1891" s="2" t="b">
        <f t="shared" si="30"/>
        <v>0</v>
      </c>
    </row>
    <row r="1892" spans="2:9" x14ac:dyDescent="0.25">
      <c r="B1892" s="161">
        <v>40913</v>
      </c>
      <c r="C1892" s="12" t="s">
        <v>790</v>
      </c>
      <c r="D1892" s="12" t="s">
        <v>801</v>
      </c>
      <c r="E1892" s="12" t="s">
        <v>807</v>
      </c>
      <c r="F1892" s="12" t="s">
        <v>796</v>
      </c>
      <c r="G1892" s="55">
        <v>219</v>
      </c>
      <c r="H1892" s="55">
        <v>322</v>
      </c>
      <c r="I1892" s="2" t="b">
        <f t="shared" si="30"/>
        <v>0</v>
      </c>
    </row>
    <row r="1893" spans="2:9" x14ac:dyDescent="0.25">
      <c r="B1893" s="161">
        <v>41397</v>
      </c>
      <c r="C1893" s="12" t="s">
        <v>790</v>
      </c>
      <c r="D1893" s="12" t="s">
        <v>652</v>
      </c>
      <c r="E1893" s="12" t="s">
        <v>607</v>
      </c>
      <c r="F1893" s="12" t="s">
        <v>791</v>
      </c>
      <c r="G1893" s="55">
        <v>3904</v>
      </c>
      <c r="H1893" s="55">
        <v>5206</v>
      </c>
      <c r="I1893" s="2" t="b">
        <f t="shared" si="30"/>
        <v>0</v>
      </c>
    </row>
    <row r="1894" spans="2:9" x14ac:dyDescent="0.25">
      <c r="B1894" s="161">
        <v>40944</v>
      </c>
      <c r="C1894" s="12" t="s">
        <v>805</v>
      </c>
      <c r="D1894" s="12" t="s">
        <v>801</v>
      </c>
      <c r="E1894" s="12" t="s">
        <v>804</v>
      </c>
      <c r="F1894" s="12" t="s">
        <v>796</v>
      </c>
      <c r="G1894" s="55">
        <v>486</v>
      </c>
      <c r="H1894" s="55">
        <v>1132</v>
      </c>
      <c r="I1894" s="2" t="b">
        <f t="shared" si="30"/>
        <v>0</v>
      </c>
    </row>
    <row r="1895" spans="2:9" x14ac:dyDescent="0.25">
      <c r="B1895" s="161">
        <v>41284</v>
      </c>
      <c r="C1895" s="12" t="s">
        <v>792</v>
      </c>
      <c r="D1895" s="12" t="s">
        <v>797</v>
      </c>
      <c r="E1895" s="12" t="s">
        <v>800</v>
      </c>
      <c r="F1895" s="12" t="s">
        <v>791</v>
      </c>
      <c r="G1895" s="55">
        <v>7177</v>
      </c>
      <c r="H1895" s="55">
        <v>7677</v>
      </c>
      <c r="I1895" s="2" t="b">
        <f t="shared" si="30"/>
        <v>0</v>
      </c>
    </row>
    <row r="1896" spans="2:9" x14ac:dyDescent="0.25">
      <c r="B1896" s="161">
        <v>41030</v>
      </c>
      <c r="C1896" s="12" t="s">
        <v>792</v>
      </c>
      <c r="D1896" s="12" t="s">
        <v>652</v>
      </c>
      <c r="E1896" s="12" t="s">
        <v>803</v>
      </c>
      <c r="F1896" s="12" t="s">
        <v>794</v>
      </c>
      <c r="G1896" s="55">
        <v>2349</v>
      </c>
      <c r="H1896" s="55">
        <v>3130</v>
      </c>
      <c r="I1896" s="2" t="b">
        <f t="shared" si="30"/>
        <v>0</v>
      </c>
    </row>
    <row r="1897" spans="2:9" x14ac:dyDescent="0.25">
      <c r="B1897" s="161">
        <v>41085</v>
      </c>
      <c r="C1897" s="12" t="s">
        <v>792</v>
      </c>
      <c r="D1897" s="12" t="s">
        <v>801</v>
      </c>
      <c r="E1897" s="12" t="s">
        <v>800</v>
      </c>
      <c r="F1897" s="12" t="s">
        <v>799</v>
      </c>
      <c r="G1897" s="55">
        <v>3282</v>
      </c>
      <c r="H1897" s="55">
        <v>7295</v>
      </c>
      <c r="I1897" s="2" t="b">
        <f t="shared" si="30"/>
        <v>0</v>
      </c>
    </row>
    <row r="1898" spans="2:9" x14ac:dyDescent="0.25">
      <c r="B1898" s="161">
        <v>41101</v>
      </c>
      <c r="C1898" s="12" t="s">
        <v>802</v>
      </c>
      <c r="D1898" s="12" t="s">
        <v>652</v>
      </c>
      <c r="E1898" s="12" t="s">
        <v>806</v>
      </c>
      <c r="F1898" s="12" t="s">
        <v>796</v>
      </c>
      <c r="G1898" s="55">
        <v>4211</v>
      </c>
      <c r="H1898" s="55">
        <v>7262</v>
      </c>
      <c r="I1898" s="2" t="b">
        <f t="shared" si="30"/>
        <v>0</v>
      </c>
    </row>
    <row r="1899" spans="2:9" x14ac:dyDescent="0.25">
      <c r="B1899" s="161">
        <v>40911</v>
      </c>
      <c r="C1899" s="12" t="s">
        <v>802</v>
      </c>
      <c r="D1899" s="12" t="s">
        <v>797</v>
      </c>
      <c r="E1899" s="12" t="s">
        <v>809</v>
      </c>
      <c r="F1899" s="12" t="s">
        <v>794</v>
      </c>
      <c r="G1899" s="55">
        <v>1692</v>
      </c>
      <c r="H1899" s="55">
        <v>3074</v>
      </c>
      <c r="I1899" s="2" t="b">
        <f t="shared" si="30"/>
        <v>0</v>
      </c>
    </row>
    <row r="1900" spans="2:9" x14ac:dyDescent="0.25">
      <c r="B1900" s="161">
        <v>41271</v>
      </c>
      <c r="C1900" s="12" t="s">
        <v>790</v>
      </c>
      <c r="D1900" s="12" t="s">
        <v>652</v>
      </c>
      <c r="E1900" s="12" t="s">
        <v>607</v>
      </c>
      <c r="F1900" s="12" t="s">
        <v>799</v>
      </c>
      <c r="G1900" s="55">
        <v>5129</v>
      </c>
      <c r="H1900" s="55">
        <v>6840</v>
      </c>
      <c r="I1900" s="2" t="b">
        <f t="shared" si="30"/>
        <v>0</v>
      </c>
    </row>
    <row r="1901" spans="2:9" x14ac:dyDescent="0.25">
      <c r="B1901" s="161">
        <v>41460</v>
      </c>
      <c r="C1901" s="12" t="s">
        <v>792</v>
      </c>
      <c r="D1901" s="12" t="s">
        <v>801</v>
      </c>
      <c r="E1901" s="12" t="s">
        <v>806</v>
      </c>
      <c r="F1901" s="12" t="s">
        <v>794</v>
      </c>
      <c r="G1901" s="55">
        <v>746</v>
      </c>
      <c r="H1901" s="55">
        <v>1357</v>
      </c>
      <c r="I1901" s="2" t="b">
        <f t="shared" si="30"/>
        <v>0</v>
      </c>
    </row>
    <row r="1902" spans="2:9" x14ac:dyDescent="0.25">
      <c r="B1902" s="161">
        <v>40916</v>
      </c>
      <c r="C1902" s="12" t="s">
        <v>802</v>
      </c>
      <c r="D1902" s="12" t="s">
        <v>797</v>
      </c>
      <c r="E1902" s="12" t="s">
        <v>793</v>
      </c>
      <c r="F1902" s="12" t="s">
        <v>796</v>
      </c>
      <c r="G1902" s="55">
        <v>1513</v>
      </c>
      <c r="H1902" s="55">
        <v>1721</v>
      </c>
      <c r="I1902" s="2" t="b">
        <f t="shared" si="30"/>
        <v>0</v>
      </c>
    </row>
    <row r="1903" spans="2:9" x14ac:dyDescent="0.25">
      <c r="B1903" s="161">
        <v>41294</v>
      </c>
      <c r="C1903" s="12" t="s">
        <v>790</v>
      </c>
      <c r="D1903" s="12" t="s">
        <v>457</v>
      </c>
      <c r="E1903" s="12" t="s">
        <v>798</v>
      </c>
      <c r="F1903" s="12" t="s">
        <v>796</v>
      </c>
      <c r="G1903" s="55">
        <v>3168</v>
      </c>
      <c r="H1903" s="55">
        <v>8560</v>
      </c>
      <c r="I1903" s="2" t="b">
        <f t="shared" si="30"/>
        <v>0</v>
      </c>
    </row>
    <row r="1904" spans="2:9" x14ac:dyDescent="0.25">
      <c r="B1904" s="161">
        <v>41556</v>
      </c>
      <c r="C1904" s="12" t="s">
        <v>790</v>
      </c>
      <c r="D1904" s="12" t="s">
        <v>797</v>
      </c>
      <c r="E1904" s="12" t="s">
        <v>487</v>
      </c>
      <c r="F1904" s="12" t="s">
        <v>794</v>
      </c>
      <c r="G1904" s="55">
        <v>2972</v>
      </c>
      <c r="H1904" s="55">
        <v>3177</v>
      </c>
      <c r="I1904" s="2" t="b">
        <f t="shared" si="30"/>
        <v>0</v>
      </c>
    </row>
    <row r="1905" spans="2:9" x14ac:dyDescent="0.25">
      <c r="B1905" s="161">
        <v>40920</v>
      </c>
      <c r="C1905" s="12" t="s">
        <v>790</v>
      </c>
      <c r="D1905" s="12" t="s">
        <v>801</v>
      </c>
      <c r="E1905" s="12" t="s">
        <v>795</v>
      </c>
      <c r="F1905" s="12" t="s">
        <v>799</v>
      </c>
      <c r="G1905" s="55">
        <v>3838</v>
      </c>
      <c r="H1905" s="55">
        <v>6975</v>
      </c>
      <c r="I1905" s="2" t="b">
        <f t="shared" si="30"/>
        <v>0</v>
      </c>
    </row>
    <row r="1906" spans="2:9" x14ac:dyDescent="0.25">
      <c r="B1906" s="161">
        <v>41167</v>
      </c>
      <c r="C1906" s="12" t="s">
        <v>805</v>
      </c>
      <c r="D1906" s="12" t="s">
        <v>652</v>
      </c>
      <c r="E1906" s="12" t="s">
        <v>798</v>
      </c>
      <c r="F1906" s="12" t="s">
        <v>796</v>
      </c>
      <c r="G1906" s="55">
        <v>4150</v>
      </c>
      <c r="H1906" s="55">
        <v>7036</v>
      </c>
      <c r="I1906" s="2" t="b">
        <f t="shared" si="30"/>
        <v>0</v>
      </c>
    </row>
    <row r="1907" spans="2:9" x14ac:dyDescent="0.25">
      <c r="B1907" s="161">
        <v>41149</v>
      </c>
      <c r="C1907" s="12" t="s">
        <v>802</v>
      </c>
      <c r="D1907" s="12" t="s">
        <v>457</v>
      </c>
      <c r="E1907" s="12" t="s">
        <v>808</v>
      </c>
      <c r="F1907" s="12" t="s">
        <v>794</v>
      </c>
      <c r="G1907" s="55">
        <v>1902</v>
      </c>
      <c r="H1907" s="55">
        <v>2535</v>
      </c>
      <c r="I1907" s="2" t="b">
        <f t="shared" si="30"/>
        <v>0</v>
      </c>
    </row>
    <row r="1908" spans="2:9" x14ac:dyDescent="0.25">
      <c r="B1908" s="161">
        <v>41575</v>
      </c>
      <c r="C1908" s="12" t="s">
        <v>790</v>
      </c>
      <c r="D1908" s="12" t="s">
        <v>801</v>
      </c>
      <c r="E1908" s="12" t="s">
        <v>607</v>
      </c>
      <c r="F1908" s="12" t="s">
        <v>794</v>
      </c>
      <c r="G1908" s="55">
        <v>5718</v>
      </c>
      <c r="H1908" s="55">
        <v>8408</v>
      </c>
      <c r="I1908" s="2" t="b">
        <f t="shared" si="30"/>
        <v>0</v>
      </c>
    </row>
    <row r="1909" spans="2:9" x14ac:dyDescent="0.25">
      <c r="B1909" s="161">
        <v>41197</v>
      </c>
      <c r="C1909" s="12" t="s">
        <v>790</v>
      </c>
      <c r="D1909" s="12" t="s">
        <v>797</v>
      </c>
      <c r="E1909" s="12" t="s">
        <v>487</v>
      </c>
      <c r="F1909" s="12" t="s">
        <v>799</v>
      </c>
      <c r="G1909" s="55">
        <v>321</v>
      </c>
      <c r="H1909" s="55">
        <v>584</v>
      </c>
      <c r="I1909" s="2" t="b">
        <f t="shared" si="30"/>
        <v>0</v>
      </c>
    </row>
    <row r="1910" spans="2:9" x14ac:dyDescent="0.25">
      <c r="B1910" s="161">
        <v>40946</v>
      </c>
      <c r="C1910" s="12" t="s">
        <v>802</v>
      </c>
      <c r="D1910" s="12" t="s">
        <v>797</v>
      </c>
      <c r="E1910" s="12" t="s">
        <v>798</v>
      </c>
      <c r="F1910" s="12" t="s">
        <v>796</v>
      </c>
      <c r="G1910" s="55">
        <v>4004</v>
      </c>
      <c r="H1910" s="55">
        <v>5337</v>
      </c>
      <c r="I1910" s="2" t="b">
        <f t="shared" si="30"/>
        <v>0</v>
      </c>
    </row>
    <row r="1911" spans="2:9" x14ac:dyDescent="0.25">
      <c r="B1911" s="161">
        <v>41020</v>
      </c>
      <c r="C1911" s="12" t="s">
        <v>792</v>
      </c>
      <c r="D1911" s="12" t="s">
        <v>801</v>
      </c>
      <c r="E1911" s="12" t="s">
        <v>809</v>
      </c>
      <c r="F1911" s="12" t="s">
        <v>799</v>
      </c>
      <c r="G1911" s="55">
        <v>3304</v>
      </c>
      <c r="H1911" s="55">
        <v>7682</v>
      </c>
      <c r="I1911" s="2" t="b">
        <f t="shared" si="30"/>
        <v>0</v>
      </c>
    </row>
    <row r="1912" spans="2:9" x14ac:dyDescent="0.25">
      <c r="B1912" s="161">
        <v>41077</v>
      </c>
      <c r="C1912" s="12" t="s">
        <v>802</v>
      </c>
      <c r="D1912" s="12" t="s">
        <v>797</v>
      </c>
      <c r="E1912" s="12" t="s">
        <v>806</v>
      </c>
      <c r="F1912" s="12" t="s">
        <v>796</v>
      </c>
      <c r="G1912" s="55">
        <v>4578</v>
      </c>
      <c r="H1912" s="55">
        <v>7760</v>
      </c>
      <c r="I1912" s="2" t="b">
        <f t="shared" si="30"/>
        <v>0</v>
      </c>
    </row>
    <row r="1913" spans="2:9" x14ac:dyDescent="0.25">
      <c r="B1913" s="161">
        <v>41418</v>
      </c>
      <c r="C1913" s="12" t="s">
        <v>802</v>
      </c>
      <c r="D1913" s="12" t="s">
        <v>457</v>
      </c>
      <c r="E1913" s="12" t="s">
        <v>795</v>
      </c>
      <c r="F1913" s="12" t="s">
        <v>791</v>
      </c>
      <c r="G1913" s="55">
        <v>2177</v>
      </c>
      <c r="H1913" s="55">
        <v>5060</v>
      </c>
      <c r="I1913" s="2" t="b">
        <f t="shared" si="30"/>
        <v>0</v>
      </c>
    </row>
    <row r="1914" spans="2:9" x14ac:dyDescent="0.25">
      <c r="B1914" s="161">
        <v>41559</v>
      </c>
      <c r="C1914" s="12" t="s">
        <v>790</v>
      </c>
      <c r="D1914" s="12" t="s">
        <v>652</v>
      </c>
      <c r="E1914" s="12" t="s">
        <v>803</v>
      </c>
      <c r="F1914" s="12" t="s">
        <v>799</v>
      </c>
      <c r="G1914" s="55">
        <v>3839</v>
      </c>
      <c r="H1914" s="55">
        <v>4104</v>
      </c>
      <c r="I1914" s="2" t="b">
        <f t="shared" si="30"/>
        <v>0</v>
      </c>
    </row>
    <row r="1915" spans="2:9" x14ac:dyDescent="0.25">
      <c r="B1915" s="161">
        <v>41400</v>
      </c>
      <c r="C1915" s="12" t="s">
        <v>802</v>
      </c>
      <c r="D1915" s="12" t="s">
        <v>652</v>
      </c>
      <c r="E1915" s="12" t="s">
        <v>798</v>
      </c>
      <c r="F1915" s="12" t="s">
        <v>796</v>
      </c>
      <c r="G1915" s="55">
        <v>3172</v>
      </c>
      <c r="H1915" s="55">
        <v>8573</v>
      </c>
      <c r="I1915" s="2" t="b">
        <f t="shared" si="30"/>
        <v>0</v>
      </c>
    </row>
    <row r="1916" spans="2:9" x14ac:dyDescent="0.25">
      <c r="B1916" s="161">
        <v>41031</v>
      </c>
      <c r="C1916" s="12" t="s">
        <v>805</v>
      </c>
      <c r="D1916" s="12" t="s">
        <v>652</v>
      </c>
      <c r="E1916" s="12" t="s">
        <v>807</v>
      </c>
      <c r="F1916" s="12" t="s">
        <v>799</v>
      </c>
      <c r="G1916" s="55">
        <v>1178</v>
      </c>
      <c r="H1916" s="55">
        <v>3185</v>
      </c>
      <c r="I1916" s="2" t="b">
        <f t="shared" si="30"/>
        <v>0</v>
      </c>
    </row>
    <row r="1917" spans="2:9" x14ac:dyDescent="0.25">
      <c r="B1917" s="161">
        <v>41162</v>
      </c>
      <c r="C1917" s="12" t="s">
        <v>802</v>
      </c>
      <c r="D1917" s="12" t="s">
        <v>652</v>
      </c>
      <c r="E1917" s="12" t="s">
        <v>808</v>
      </c>
      <c r="F1917" s="12" t="s">
        <v>791</v>
      </c>
      <c r="G1917" s="55">
        <v>5758</v>
      </c>
      <c r="H1917" s="55">
        <v>6159</v>
      </c>
      <c r="I1917" s="2" t="b">
        <f t="shared" si="30"/>
        <v>0</v>
      </c>
    </row>
    <row r="1918" spans="2:9" x14ac:dyDescent="0.25">
      <c r="B1918" s="161">
        <v>41186</v>
      </c>
      <c r="C1918" s="12" t="s">
        <v>805</v>
      </c>
      <c r="D1918" s="12" t="s">
        <v>801</v>
      </c>
      <c r="E1918" s="12" t="s">
        <v>798</v>
      </c>
      <c r="F1918" s="12" t="s">
        <v>799</v>
      </c>
      <c r="G1918" s="55">
        <v>4399</v>
      </c>
      <c r="H1918" s="55">
        <v>6469</v>
      </c>
      <c r="I1918" s="2" t="b">
        <f t="shared" si="30"/>
        <v>0</v>
      </c>
    </row>
    <row r="1919" spans="2:9" x14ac:dyDescent="0.25">
      <c r="B1919" s="161">
        <v>41413</v>
      </c>
      <c r="C1919" s="12" t="s">
        <v>805</v>
      </c>
      <c r="D1919" s="12" t="s">
        <v>457</v>
      </c>
      <c r="E1919" s="12" t="s">
        <v>806</v>
      </c>
      <c r="F1919" s="12" t="s">
        <v>794</v>
      </c>
      <c r="G1919" s="55">
        <v>591</v>
      </c>
      <c r="H1919" s="55">
        <v>1311</v>
      </c>
      <c r="I1919" s="2" t="b">
        <f t="shared" si="30"/>
        <v>0</v>
      </c>
    </row>
    <row r="1920" spans="2:9" x14ac:dyDescent="0.25">
      <c r="B1920" s="161">
        <v>41433</v>
      </c>
      <c r="C1920" s="12" t="s">
        <v>805</v>
      </c>
      <c r="D1920" s="12" t="s">
        <v>797</v>
      </c>
      <c r="E1920" s="12" t="s">
        <v>798</v>
      </c>
      <c r="F1920" s="12" t="s">
        <v>796</v>
      </c>
      <c r="G1920" s="55">
        <v>2605</v>
      </c>
      <c r="H1920" s="55">
        <v>5790</v>
      </c>
      <c r="I1920" s="2" t="b">
        <f t="shared" si="30"/>
        <v>0</v>
      </c>
    </row>
    <row r="1921" spans="2:9" x14ac:dyDescent="0.25">
      <c r="B1921" s="161">
        <v>41428</v>
      </c>
      <c r="C1921" s="12" t="s">
        <v>802</v>
      </c>
      <c r="D1921" s="12" t="s">
        <v>652</v>
      </c>
      <c r="E1921" s="12" t="s">
        <v>798</v>
      </c>
      <c r="F1921" s="12" t="s">
        <v>791</v>
      </c>
      <c r="G1921" s="55">
        <v>3318</v>
      </c>
      <c r="H1921" s="55">
        <v>8966</v>
      </c>
      <c r="I1921" s="2" t="b">
        <f t="shared" si="30"/>
        <v>0</v>
      </c>
    </row>
    <row r="1922" spans="2:9" x14ac:dyDescent="0.25">
      <c r="B1922" s="161">
        <v>40991</v>
      </c>
      <c r="C1922" s="12" t="s">
        <v>792</v>
      </c>
      <c r="D1922" s="12" t="s">
        <v>457</v>
      </c>
      <c r="E1922" s="12" t="s">
        <v>795</v>
      </c>
      <c r="F1922" s="12" t="s">
        <v>791</v>
      </c>
      <c r="G1922" s="55">
        <v>3132</v>
      </c>
      <c r="H1922" s="55">
        <v>5695</v>
      </c>
      <c r="I1922" s="2" t="b">
        <f t="shared" si="30"/>
        <v>0</v>
      </c>
    </row>
    <row r="1923" spans="2:9" x14ac:dyDescent="0.25">
      <c r="B1923" s="161">
        <v>40963</v>
      </c>
      <c r="C1923" s="12" t="s">
        <v>802</v>
      </c>
      <c r="D1923" s="12" t="s">
        <v>652</v>
      </c>
      <c r="E1923" s="12" t="s">
        <v>808</v>
      </c>
      <c r="F1923" s="12" t="s">
        <v>799</v>
      </c>
      <c r="G1923" s="55">
        <v>5772</v>
      </c>
      <c r="H1923" s="55">
        <v>6174</v>
      </c>
      <c r="I1923" s="2" t="b">
        <f t="shared" si="30"/>
        <v>0</v>
      </c>
    </row>
    <row r="1924" spans="2:9" x14ac:dyDescent="0.25">
      <c r="B1924" s="161">
        <v>40918</v>
      </c>
      <c r="C1924" s="12" t="s">
        <v>790</v>
      </c>
      <c r="D1924" s="12" t="s">
        <v>457</v>
      </c>
      <c r="E1924" s="12" t="s">
        <v>487</v>
      </c>
      <c r="F1924" s="12" t="s">
        <v>791</v>
      </c>
      <c r="G1924" s="55">
        <v>5931</v>
      </c>
      <c r="H1924" s="55">
        <v>8724</v>
      </c>
      <c r="I1924" s="2" t="b">
        <f t="shared" si="30"/>
        <v>0</v>
      </c>
    </row>
    <row r="1925" spans="2:9" x14ac:dyDescent="0.25">
      <c r="B1925" s="161">
        <v>41314</v>
      </c>
      <c r="C1925" s="12" t="s">
        <v>802</v>
      </c>
      <c r="D1925" s="12" t="s">
        <v>801</v>
      </c>
      <c r="E1925" s="12" t="s">
        <v>803</v>
      </c>
      <c r="F1925" s="12" t="s">
        <v>794</v>
      </c>
      <c r="G1925" s="55">
        <v>2890</v>
      </c>
      <c r="H1925" s="55">
        <v>3854</v>
      </c>
      <c r="I1925" s="2" t="b">
        <f t="shared" si="30"/>
        <v>0</v>
      </c>
    </row>
    <row r="1926" spans="2:9" x14ac:dyDescent="0.25">
      <c r="B1926" s="161">
        <v>41217</v>
      </c>
      <c r="C1926" s="12" t="s">
        <v>790</v>
      </c>
      <c r="D1926" s="12" t="s">
        <v>801</v>
      </c>
      <c r="E1926" s="12" t="s">
        <v>808</v>
      </c>
      <c r="F1926" s="12" t="s">
        <v>791</v>
      </c>
      <c r="G1926" s="55">
        <v>8102</v>
      </c>
      <c r="H1926" s="55">
        <v>9205</v>
      </c>
      <c r="I1926" s="2" t="b">
        <f t="shared" si="30"/>
        <v>0</v>
      </c>
    </row>
    <row r="1927" spans="2:9" x14ac:dyDescent="0.25">
      <c r="B1927" s="161">
        <v>41509</v>
      </c>
      <c r="C1927" s="12" t="s">
        <v>790</v>
      </c>
      <c r="D1927" s="12" t="s">
        <v>652</v>
      </c>
      <c r="E1927" s="12" t="s">
        <v>803</v>
      </c>
      <c r="F1927" s="12" t="s">
        <v>799</v>
      </c>
      <c r="G1927" s="55">
        <v>3306</v>
      </c>
      <c r="H1927" s="55">
        <v>7344</v>
      </c>
      <c r="I1927" s="2" t="b">
        <f t="shared" ref="I1927:I1990" si="31">AND($K$9=C1927,$L$9=D1927,$M$9=F1927)</f>
        <v>0</v>
      </c>
    </row>
    <row r="1928" spans="2:9" x14ac:dyDescent="0.25">
      <c r="B1928" s="161">
        <v>41411</v>
      </c>
      <c r="C1928" s="12" t="s">
        <v>790</v>
      </c>
      <c r="D1928" s="12" t="s">
        <v>652</v>
      </c>
      <c r="E1928" s="12" t="s">
        <v>809</v>
      </c>
      <c r="F1928" s="12" t="s">
        <v>791</v>
      </c>
      <c r="G1928" s="55">
        <v>5366</v>
      </c>
      <c r="H1928" s="55">
        <v>9756</v>
      </c>
      <c r="I1928" s="2" t="b">
        <f t="shared" si="31"/>
        <v>0</v>
      </c>
    </row>
    <row r="1929" spans="2:9" x14ac:dyDescent="0.25">
      <c r="B1929" s="161">
        <v>41265</v>
      </c>
      <c r="C1929" s="12" t="s">
        <v>802</v>
      </c>
      <c r="D1929" s="12" t="s">
        <v>797</v>
      </c>
      <c r="E1929" s="12" t="s">
        <v>804</v>
      </c>
      <c r="F1929" s="12" t="s">
        <v>796</v>
      </c>
      <c r="G1929" s="55">
        <v>2974</v>
      </c>
      <c r="H1929" s="55">
        <v>3181</v>
      </c>
      <c r="I1929" s="2" t="b">
        <f t="shared" si="31"/>
        <v>0</v>
      </c>
    </row>
    <row r="1930" spans="2:9" x14ac:dyDescent="0.25">
      <c r="B1930" s="161">
        <v>41349</v>
      </c>
      <c r="C1930" s="12" t="s">
        <v>802</v>
      </c>
      <c r="D1930" s="12" t="s">
        <v>457</v>
      </c>
      <c r="E1930" s="12" t="s">
        <v>807</v>
      </c>
      <c r="F1930" s="12" t="s">
        <v>791</v>
      </c>
      <c r="G1930" s="55">
        <v>336</v>
      </c>
      <c r="H1930" s="55">
        <v>610</v>
      </c>
      <c r="I1930" s="2" t="b">
        <f t="shared" si="31"/>
        <v>0</v>
      </c>
    </row>
    <row r="1931" spans="2:9" x14ac:dyDescent="0.25">
      <c r="B1931" s="161">
        <v>41192</v>
      </c>
      <c r="C1931" s="12" t="s">
        <v>802</v>
      </c>
      <c r="D1931" s="12" t="s">
        <v>797</v>
      </c>
      <c r="E1931" s="12" t="s">
        <v>809</v>
      </c>
      <c r="F1931" s="12" t="s">
        <v>796</v>
      </c>
      <c r="G1931" s="55">
        <v>6163</v>
      </c>
      <c r="H1931" s="55">
        <v>8217</v>
      </c>
      <c r="I1931" s="2" t="b">
        <f t="shared" si="31"/>
        <v>0</v>
      </c>
    </row>
    <row r="1932" spans="2:9" x14ac:dyDescent="0.25">
      <c r="B1932" s="161">
        <v>41248</v>
      </c>
      <c r="C1932" s="12" t="s">
        <v>802</v>
      </c>
      <c r="D1932" s="12" t="s">
        <v>457</v>
      </c>
      <c r="E1932" s="12" t="s">
        <v>800</v>
      </c>
      <c r="F1932" s="12" t="s">
        <v>799</v>
      </c>
      <c r="G1932" s="55">
        <v>506</v>
      </c>
      <c r="H1932" s="55">
        <v>674</v>
      </c>
      <c r="I1932" s="2" t="b">
        <f t="shared" si="31"/>
        <v>0</v>
      </c>
    </row>
    <row r="1933" spans="2:9" x14ac:dyDescent="0.25">
      <c r="B1933" s="161">
        <v>41573</v>
      </c>
      <c r="C1933" s="12" t="s">
        <v>805</v>
      </c>
      <c r="D1933" s="12" t="s">
        <v>457</v>
      </c>
      <c r="E1933" s="12" t="s">
        <v>487</v>
      </c>
      <c r="F1933" s="12" t="s">
        <v>799</v>
      </c>
      <c r="G1933" s="55">
        <v>1693</v>
      </c>
      <c r="H1933" s="55">
        <v>2868</v>
      </c>
      <c r="I1933" s="2" t="b">
        <f t="shared" si="31"/>
        <v>0</v>
      </c>
    </row>
    <row r="1934" spans="2:9" x14ac:dyDescent="0.25">
      <c r="B1934" s="161">
        <v>41250</v>
      </c>
      <c r="C1934" s="12" t="s">
        <v>792</v>
      </c>
      <c r="D1934" s="12" t="s">
        <v>652</v>
      </c>
      <c r="E1934" s="12" t="s">
        <v>809</v>
      </c>
      <c r="F1934" s="12" t="s">
        <v>796</v>
      </c>
      <c r="G1934" s="55">
        <v>1857</v>
      </c>
      <c r="H1934" s="55">
        <v>3149</v>
      </c>
      <c r="I1934" s="2" t="b">
        <f t="shared" si="31"/>
        <v>0</v>
      </c>
    </row>
    <row r="1935" spans="2:9" x14ac:dyDescent="0.25">
      <c r="B1935" s="161">
        <v>41162</v>
      </c>
      <c r="C1935" s="12" t="s">
        <v>802</v>
      </c>
      <c r="D1935" s="12" t="s">
        <v>797</v>
      </c>
      <c r="E1935" s="12" t="s">
        <v>798</v>
      </c>
      <c r="F1935" s="12" t="s">
        <v>796</v>
      </c>
      <c r="G1935" s="55">
        <v>1019</v>
      </c>
      <c r="H1935" s="55">
        <v>1090</v>
      </c>
      <c r="I1935" s="2" t="b">
        <f t="shared" si="31"/>
        <v>0</v>
      </c>
    </row>
    <row r="1936" spans="2:9" x14ac:dyDescent="0.25">
      <c r="B1936" s="161">
        <v>41548</v>
      </c>
      <c r="C1936" s="12" t="s">
        <v>792</v>
      </c>
      <c r="D1936" s="12" t="s">
        <v>797</v>
      </c>
      <c r="E1936" s="12" t="s">
        <v>798</v>
      </c>
      <c r="F1936" s="12" t="s">
        <v>791</v>
      </c>
      <c r="G1936" s="55">
        <v>3018</v>
      </c>
      <c r="H1936" s="55">
        <v>5204</v>
      </c>
      <c r="I1936" s="2" t="b">
        <f t="shared" si="31"/>
        <v>0</v>
      </c>
    </row>
    <row r="1937" spans="2:9" x14ac:dyDescent="0.25">
      <c r="B1937" s="161">
        <v>41195</v>
      </c>
      <c r="C1937" s="12" t="s">
        <v>805</v>
      </c>
      <c r="D1937" s="12" t="s">
        <v>797</v>
      </c>
      <c r="E1937" s="12" t="s">
        <v>607</v>
      </c>
      <c r="F1937" s="12" t="s">
        <v>799</v>
      </c>
      <c r="G1937" s="55">
        <v>1802</v>
      </c>
      <c r="H1937" s="55">
        <v>2650</v>
      </c>
      <c r="I1937" s="2" t="b">
        <f t="shared" si="31"/>
        <v>0</v>
      </c>
    </row>
    <row r="1938" spans="2:9" x14ac:dyDescent="0.25">
      <c r="B1938" s="161">
        <v>41156</v>
      </c>
      <c r="C1938" s="12" t="s">
        <v>802</v>
      </c>
      <c r="D1938" s="12" t="s">
        <v>652</v>
      </c>
      <c r="E1938" s="12" t="s">
        <v>487</v>
      </c>
      <c r="F1938" s="12" t="s">
        <v>791</v>
      </c>
      <c r="G1938" s="55">
        <v>5843</v>
      </c>
      <c r="H1938" s="55">
        <v>6639</v>
      </c>
      <c r="I1938" s="2" t="b">
        <f t="shared" si="31"/>
        <v>0</v>
      </c>
    </row>
    <row r="1939" spans="2:9" x14ac:dyDescent="0.25">
      <c r="B1939" s="161">
        <v>41529</v>
      </c>
      <c r="C1939" s="12" t="s">
        <v>792</v>
      </c>
      <c r="D1939" s="12" t="s">
        <v>797</v>
      </c>
      <c r="E1939" s="12" t="s">
        <v>806</v>
      </c>
      <c r="F1939" s="12" t="s">
        <v>799</v>
      </c>
      <c r="G1939" s="55">
        <v>1468</v>
      </c>
      <c r="H1939" s="55">
        <v>1569</v>
      </c>
      <c r="I1939" s="2" t="b">
        <f t="shared" si="31"/>
        <v>0</v>
      </c>
    </row>
    <row r="1940" spans="2:9" x14ac:dyDescent="0.25">
      <c r="B1940" s="161">
        <v>41229</v>
      </c>
      <c r="C1940" s="12" t="s">
        <v>805</v>
      </c>
      <c r="D1940" s="12" t="s">
        <v>797</v>
      </c>
      <c r="E1940" s="12" t="s">
        <v>795</v>
      </c>
      <c r="F1940" s="12" t="s">
        <v>796</v>
      </c>
      <c r="G1940" s="55">
        <v>2953</v>
      </c>
      <c r="H1940" s="55">
        <v>7982</v>
      </c>
      <c r="I1940" s="2" t="b">
        <f t="shared" si="31"/>
        <v>0</v>
      </c>
    </row>
    <row r="1941" spans="2:9" x14ac:dyDescent="0.25">
      <c r="B1941" s="161">
        <v>41631</v>
      </c>
      <c r="C1941" s="12" t="s">
        <v>802</v>
      </c>
      <c r="D1941" s="12" t="s">
        <v>457</v>
      </c>
      <c r="E1941" s="12" t="s">
        <v>795</v>
      </c>
      <c r="F1941" s="12" t="s">
        <v>794</v>
      </c>
      <c r="G1941" s="55">
        <v>1611</v>
      </c>
      <c r="H1941" s="55">
        <v>3579</v>
      </c>
      <c r="I1941" s="2" t="b">
        <f t="shared" si="31"/>
        <v>0</v>
      </c>
    </row>
    <row r="1942" spans="2:9" x14ac:dyDescent="0.25">
      <c r="B1942" s="161">
        <v>41431</v>
      </c>
      <c r="C1942" s="12" t="s">
        <v>805</v>
      </c>
      <c r="D1942" s="12" t="s">
        <v>652</v>
      </c>
      <c r="E1942" s="12" t="s">
        <v>808</v>
      </c>
      <c r="F1942" s="12" t="s">
        <v>796</v>
      </c>
      <c r="G1942" s="55">
        <v>3305</v>
      </c>
      <c r="H1942" s="55">
        <v>7346</v>
      </c>
      <c r="I1942" s="2" t="b">
        <f t="shared" si="31"/>
        <v>0</v>
      </c>
    </row>
    <row r="1943" spans="2:9" x14ac:dyDescent="0.25">
      <c r="B1943" s="161">
        <v>41206</v>
      </c>
      <c r="C1943" s="12" t="s">
        <v>802</v>
      </c>
      <c r="D1943" s="12" t="s">
        <v>797</v>
      </c>
      <c r="E1943" s="12" t="s">
        <v>607</v>
      </c>
      <c r="F1943" s="12" t="s">
        <v>799</v>
      </c>
      <c r="G1943" s="55">
        <v>5543</v>
      </c>
      <c r="H1943" s="55">
        <v>9557</v>
      </c>
      <c r="I1943" s="2" t="b">
        <f t="shared" si="31"/>
        <v>0</v>
      </c>
    </row>
    <row r="1944" spans="2:9" x14ac:dyDescent="0.25">
      <c r="B1944" s="161">
        <v>41491</v>
      </c>
      <c r="C1944" s="12" t="s">
        <v>792</v>
      </c>
      <c r="D1944" s="12" t="s">
        <v>457</v>
      </c>
      <c r="E1944" s="12" t="s">
        <v>806</v>
      </c>
      <c r="F1944" s="12" t="s">
        <v>794</v>
      </c>
      <c r="G1944" s="55">
        <v>3235</v>
      </c>
      <c r="H1944" s="55">
        <v>4758</v>
      </c>
      <c r="I1944" s="2" t="b">
        <f t="shared" si="31"/>
        <v>1</v>
      </c>
    </row>
    <row r="1945" spans="2:9" x14ac:dyDescent="0.25">
      <c r="B1945" s="161">
        <v>41101</v>
      </c>
      <c r="C1945" s="12" t="s">
        <v>792</v>
      </c>
      <c r="D1945" s="12" t="s">
        <v>652</v>
      </c>
      <c r="E1945" s="12" t="s">
        <v>804</v>
      </c>
      <c r="F1945" s="12" t="s">
        <v>791</v>
      </c>
      <c r="G1945" s="55">
        <v>4711</v>
      </c>
      <c r="H1945" s="55">
        <v>7984</v>
      </c>
      <c r="I1945" s="2" t="b">
        <f t="shared" si="31"/>
        <v>0</v>
      </c>
    </row>
    <row r="1946" spans="2:9" x14ac:dyDescent="0.25">
      <c r="B1946" s="161">
        <v>41272</v>
      </c>
      <c r="C1946" s="12" t="s">
        <v>805</v>
      </c>
      <c r="D1946" s="12" t="s">
        <v>652</v>
      </c>
      <c r="E1946" s="12" t="s">
        <v>806</v>
      </c>
      <c r="F1946" s="12" t="s">
        <v>799</v>
      </c>
      <c r="G1946" s="55">
        <v>822</v>
      </c>
      <c r="H1946" s="55">
        <v>1394</v>
      </c>
      <c r="I1946" s="2" t="b">
        <f t="shared" si="31"/>
        <v>0</v>
      </c>
    </row>
    <row r="1947" spans="2:9" x14ac:dyDescent="0.25">
      <c r="B1947" s="161">
        <v>41378</v>
      </c>
      <c r="C1947" s="12" t="s">
        <v>802</v>
      </c>
      <c r="D1947" s="12" t="s">
        <v>801</v>
      </c>
      <c r="E1947" s="12" t="s">
        <v>487</v>
      </c>
      <c r="F1947" s="12" t="s">
        <v>791</v>
      </c>
      <c r="G1947" s="55">
        <v>6417</v>
      </c>
      <c r="H1947" s="55">
        <v>6864</v>
      </c>
      <c r="I1947" s="2" t="b">
        <f t="shared" si="31"/>
        <v>0</v>
      </c>
    </row>
    <row r="1948" spans="2:9" x14ac:dyDescent="0.25">
      <c r="B1948" s="161">
        <v>41378</v>
      </c>
      <c r="C1948" s="12" t="s">
        <v>805</v>
      </c>
      <c r="D1948" s="12" t="s">
        <v>652</v>
      </c>
      <c r="E1948" s="12" t="s">
        <v>806</v>
      </c>
      <c r="F1948" s="12" t="s">
        <v>799</v>
      </c>
      <c r="G1948" s="55">
        <v>343</v>
      </c>
      <c r="H1948" s="55">
        <v>763</v>
      </c>
      <c r="I1948" s="2" t="b">
        <f t="shared" si="31"/>
        <v>0</v>
      </c>
    </row>
    <row r="1949" spans="2:9" x14ac:dyDescent="0.25">
      <c r="B1949" s="161">
        <v>41306</v>
      </c>
      <c r="C1949" s="12" t="s">
        <v>805</v>
      </c>
      <c r="D1949" s="12" t="s">
        <v>797</v>
      </c>
      <c r="E1949" s="12" t="s">
        <v>806</v>
      </c>
      <c r="F1949" s="12" t="s">
        <v>796</v>
      </c>
      <c r="G1949" s="55">
        <v>2813</v>
      </c>
      <c r="H1949" s="55">
        <v>3197</v>
      </c>
      <c r="I1949" s="2" t="b">
        <f t="shared" si="31"/>
        <v>0</v>
      </c>
    </row>
    <row r="1950" spans="2:9" x14ac:dyDescent="0.25">
      <c r="B1950" s="161">
        <v>41423</v>
      </c>
      <c r="C1950" s="12" t="s">
        <v>805</v>
      </c>
      <c r="D1950" s="12" t="s">
        <v>652</v>
      </c>
      <c r="E1950" s="12" t="s">
        <v>809</v>
      </c>
      <c r="F1950" s="12" t="s">
        <v>791</v>
      </c>
      <c r="G1950" s="55">
        <v>296</v>
      </c>
      <c r="H1950" s="55">
        <v>337</v>
      </c>
      <c r="I1950" s="2" t="b">
        <f t="shared" si="31"/>
        <v>0</v>
      </c>
    </row>
    <row r="1951" spans="2:9" x14ac:dyDescent="0.25">
      <c r="B1951" s="161">
        <v>41351</v>
      </c>
      <c r="C1951" s="12" t="s">
        <v>802</v>
      </c>
      <c r="D1951" s="12" t="s">
        <v>457</v>
      </c>
      <c r="E1951" s="12" t="s">
        <v>809</v>
      </c>
      <c r="F1951" s="12" t="s">
        <v>791</v>
      </c>
      <c r="G1951" s="55">
        <v>4004</v>
      </c>
      <c r="H1951" s="55">
        <v>7279</v>
      </c>
      <c r="I1951" s="2" t="b">
        <f t="shared" si="31"/>
        <v>0</v>
      </c>
    </row>
    <row r="1952" spans="2:9" x14ac:dyDescent="0.25">
      <c r="B1952" s="161">
        <v>41211</v>
      </c>
      <c r="C1952" s="12" t="s">
        <v>792</v>
      </c>
      <c r="D1952" s="12" t="s">
        <v>457</v>
      </c>
      <c r="E1952" s="12" t="s">
        <v>808</v>
      </c>
      <c r="F1952" s="12" t="s">
        <v>791</v>
      </c>
      <c r="G1952" s="55">
        <v>1880</v>
      </c>
      <c r="H1952" s="55">
        <v>3241</v>
      </c>
      <c r="I1952" s="2" t="b">
        <f t="shared" si="31"/>
        <v>0</v>
      </c>
    </row>
    <row r="1953" spans="2:9" x14ac:dyDescent="0.25">
      <c r="B1953" s="161">
        <v>41277</v>
      </c>
      <c r="C1953" s="12" t="s">
        <v>792</v>
      </c>
      <c r="D1953" s="12" t="s">
        <v>797</v>
      </c>
      <c r="E1953" s="12" t="s">
        <v>806</v>
      </c>
      <c r="F1953" s="12" t="s">
        <v>794</v>
      </c>
      <c r="G1953" s="55">
        <v>3073</v>
      </c>
      <c r="H1953" s="55">
        <v>3288</v>
      </c>
      <c r="I1953" s="2" t="b">
        <f t="shared" si="31"/>
        <v>0</v>
      </c>
    </row>
    <row r="1954" spans="2:9" x14ac:dyDescent="0.25">
      <c r="B1954" s="161">
        <v>41182</v>
      </c>
      <c r="C1954" s="12" t="s">
        <v>792</v>
      </c>
      <c r="D1954" s="12" t="s">
        <v>797</v>
      </c>
      <c r="E1954" s="12" t="s">
        <v>803</v>
      </c>
      <c r="F1954" s="12" t="s">
        <v>799</v>
      </c>
      <c r="G1954" s="55">
        <v>2845</v>
      </c>
      <c r="H1954" s="55">
        <v>7689</v>
      </c>
      <c r="I1954" s="2" t="b">
        <f t="shared" si="31"/>
        <v>0</v>
      </c>
    </row>
    <row r="1955" spans="2:9" x14ac:dyDescent="0.25">
      <c r="B1955" s="161">
        <v>41489</v>
      </c>
      <c r="C1955" s="12" t="s">
        <v>790</v>
      </c>
      <c r="D1955" s="12" t="s">
        <v>797</v>
      </c>
      <c r="E1955" s="12" t="s">
        <v>804</v>
      </c>
      <c r="F1955" s="12" t="s">
        <v>799</v>
      </c>
      <c r="G1955" s="55">
        <v>423</v>
      </c>
      <c r="H1955" s="55">
        <v>480</v>
      </c>
      <c r="I1955" s="2" t="b">
        <f t="shared" si="31"/>
        <v>0</v>
      </c>
    </row>
    <row r="1956" spans="2:9" x14ac:dyDescent="0.25">
      <c r="B1956" s="161">
        <v>41050</v>
      </c>
      <c r="C1956" s="12" t="s">
        <v>802</v>
      </c>
      <c r="D1956" s="12" t="s">
        <v>801</v>
      </c>
      <c r="E1956" s="12" t="s">
        <v>487</v>
      </c>
      <c r="F1956" s="12" t="s">
        <v>794</v>
      </c>
      <c r="G1956" s="55">
        <v>1242</v>
      </c>
      <c r="H1956" s="55">
        <v>1828</v>
      </c>
      <c r="I1956" s="2" t="b">
        <f t="shared" si="31"/>
        <v>0</v>
      </c>
    </row>
    <row r="1957" spans="2:9" x14ac:dyDescent="0.25">
      <c r="B1957" s="161">
        <v>41067</v>
      </c>
      <c r="C1957" s="12" t="s">
        <v>805</v>
      </c>
      <c r="D1957" s="12" t="s">
        <v>801</v>
      </c>
      <c r="E1957" s="12" t="s">
        <v>487</v>
      </c>
      <c r="F1957" s="12" t="s">
        <v>799</v>
      </c>
      <c r="G1957" s="55">
        <v>3403</v>
      </c>
      <c r="H1957" s="55">
        <v>9195</v>
      </c>
      <c r="I1957" s="2" t="b">
        <f t="shared" si="31"/>
        <v>0</v>
      </c>
    </row>
    <row r="1958" spans="2:9" x14ac:dyDescent="0.25">
      <c r="B1958" s="161">
        <v>41432</v>
      </c>
      <c r="C1958" s="12" t="s">
        <v>805</v>
      </c>
      <c r="D1958" s="12" t="s">
        <v>797</v>
      </c>
      <c r="E1958" s="12" t="s">
        <v>806</v>
      </c>
      <c r="F1958" s="12" t="s">
        <v>799</v>
      </c>
      <c r="G1958" s="55">
        <v>6354</v>
      </c>
      <c r="H1958" s="55">
        <v>9344</v>
      </c>
      <c r="I1958" s="2" t="b">
        <f t="shared" si="31"/>
        <v>0</v>
      </c>
    </row>
    <row r="1959" spans="2:9" x14ac:dyDescent="0.25">
      <c r="B1959" s="161">
        <v>41491</v>
      </c>
      <c r="C1959" s="12" t="s">
        <v>790</v>
      </c>
      <c r="D1959" s="12" t="s">
        <v>457</v>
      </c>
      <c r="E1959" s="12" t="s">
        <v>607</v>
      </c>
      <c r="F1959" s="12" t="s">
        <v>791</v>
      </c>
      <c r="G1959" s="55">
        <v>4562</v>
      </c>
      <c r="H1959" s="55">
        <v>5183</v>
      </c>
      <c r="I1959" s="2" t="b">
        <f t="shared" si="31"/>
        <v>0</v>
      </c>
    </row>
    <row r="1960" spans="2:9" x14ac:dyDescent="0.25">
      <c r="B1960" s="161">
        <v>41112</v>
      </c>
      <c r="C1960" s="12" t="s">
        <v>790</v>
      </c>
      <c r="D1960" s="12" t="s">
        <v>801</v>
      </c>
      <c r="E1960" s="12" t="s">
        <v>803</v>
      </c>
      <c r="F1960" s="12" t="s">
        <v>794</v>
      </c>
      <c r="G1960" s="55">
        <v>1476</v>
      </c>
      <c r="H1960" s="55">
        <v>3990</v>
      </c>
      <c r="I1960" s="2" t="b">
        <f t="shared" si="31"/>
        <v>0</v>
      </c>
    </row>
    <row r="1961" spans="2:9" x14ac:dyDescent="0.25">
      <c r="B1961" s="161">
        <v>41130</v>
      </c>
      <c r="C1961" s="12" t="s">
        <v>790</v>
      </c>
      <c r="D1961" s="12" t="s">
        <v>457</v>
      </c>
      <c r="E1961" s="12" t="s">
        <v>607</v>
      </c>
      <c r="F1961" s="12" t="s">
        <v>799</v>
      </c>
      <c r="G1961" s="55">
        <v>3582</v>
      </c>
      <c r="H1961" s="55">
        <v>4774</v>
      </c>
      <c r="I1961" s="2" t="b">
        <f t="shared" si="31"/>
        <v>0</v>
      </c>
    </row>
    <row r="1962" spans="2:9" x14ac:dyDescent="0.25">
      <c r="B1962" s="161">
        <v>41301</v>
      </c>
      <c r="C1962" s="12" t="s">
        <v>790</v>
      </c>
      <c r="D1962" s="12" t="s">
        <v>801</v>
      </c>
      <c r="E1962" s="12" t="s">
        <v>795</v>
      </c>
      <c r="F1962" s="12" t="s">
        <v>796</v>
      </c>
      <c r="G1962" s="55">
        <v>4130</v>
      </c>
      <c r="H1962" s="55">
        <v>5506</v>
      </c>
      <c r="I1962" s="2" t="b">
        <f t="shared" si="31"/>
        <v>0</v>
      </c>
    </row>
    <row r="1963" spans="2:9" x14ac:dyDescent="0.25">
      <c r="B1963" s="161">
        <v>41479</v>
      </c>
      <c r="C1963" s="12" t="s">
        <v>792</v>
      </c>
      <c r="D1963" s="12" t="s">
        <v>801</v>
      </c>
      <c r="E1963" s="12" t="s">
        <v>487</v>
      </c>
      <c r="F1963" s="12" t="s">
        <v>791</v>
      </c>
      <c r="G1963" s="55">
        <v>662</v>
      </c>
      <c r="H1963" s="55">
        <v>881</v>
      </c>
      <c r="I1963" s="2" t="b">
        <f t="shared" si="31"/>
        <v>0</v>
      </c>
    </row>
    <row r="1964" spans="2:9" x14ac:dyDescent="0.25">
      <c r="B1964" s="161">
        <v>41485</v>
      </c>
      <c r="C1964" s="12" t="s">
        <v>792</v>
      </c>
      <c r="D1964" s="12" t="s">
        <v>801</v>
      </c>
      <c r="E1964" s="12" t="s">
        <v>806</v>
      </c>
      <c r="F1964" s="12" t="s">
        <v>791</v>
      </c>
      <c r="G1964" s="55">
        <v>5238</v>
      </c>
      <c r="H1964" s="55">
        <v>6983</v>
      </c>
      <c r="I1964" s="2" t="b">
        <f t="shared" si="31"/>
        <v>0</v>
      </c>
    </row>
    <row r="1965" spans="2:9" x14ac:dyDescent="0.25">
      <c r="B1965" s="161">
        <v>41396</v>
      </c>
      <c r="C1965" s="12" t="s">
        <v>802</v>
      </c>
      <c r="D1965" s="12" t="s">
        <v>652</v>
      </c>
      <c r="E1965" s="12" t="s">
        <v>798</v>
      </c>
      <c r="F1965" s="12" t="s">
        <v>794</v>
      </c>
      <c r="G1965" s="55">
        <v>5363</v>
      </c>
      <c r="H1965" s="55">
        <v>7888</v>
      </c>
      <c r="I1965" s="2" t="b">
        <f t="shared" si="31"/>
        <v>0</v>
      </c>
    </row>
    <row r="1966" spans="2:9" x14ac:dyDescent="0.25">
      <c r="B1966" s="161">
        <v>41361</v>
      </c>
      <c r="C1966" s="12" t="s">
        <v>790</v>
      </c>
      <c r="D1966" s="12" t="s">
        <v>801</v>
      </c>
      <c r="E1966" s="12" t="s">
        <v>607</v>
      </c>
      <c r="F1966" s="12" t="s">
        <v>791</v>
      </c>
      <c r="G1966" s="55">
        <v>1541</v>
      </c>
      <c r="H1966" s="55">
        <v>3581</v>
      </c>
      <c r="I1966" s="2" t="b">
        <f t="shared" si="31"/>
        <v>0</v>
      </c>
    </row>
    <row r="1967" spans="2:9" x14ac:dyDescent="0.25">
      <c r="B1967" s="161">
        <v>41373</v>
      </c>
      <c r="C1967" s="12" t="s">
        <v>805</v>
      </c>
      <c r="D1967" s="12" t="s">
        <v>457</v>
      </c>
      <c r="E1967" s="12" t="s">
        <v>798</v>
      </c>
      <c r="F1967" s="12" t="s">
        <v>794</v>
      </c>
      <c r="G1967" s="55">
        <v>4050</v>
      </c>
      <c r="H1967" s="55">
        <v>5954</v>
      </c>
      <c r="I1967" s="2" t="b">
        <f t="shared" si="31"/>
        <v>0</v>
      </c>
    </row>
    <row r="1968" spans="2:9" x14ac:dyDescent="0.25">
      <c r="B1968" s="161">
        <v>41496</v>
      </c>
      <c r="C1968" s="12" t="s">
        <v>802</v>
      </c>
      <c r="D1968" s="12" t="s">
        <v>797</v>
      </c>
      <c r="E1968" s="12" t="s">
        <v>809</v>
      </c>
      <c r="F1968" s="12" t="s">
        <v>791</v>
      </c>
      <c r="G1968" s="55">
        <v>170</v>
      </c>
      <c r="H1968" s="55">
        <v>309</v>
      </c>
      <c r="I1968" s="2" t="b">
        <f t="shared" si="31"/>
        <v>0</v>
      </c>
    </row>
    <row r="1969" spans="2:9" x14ac:dyDescent="0.25">
      <c r="B1969" s="161">
        <v>41225</v>
      </c>
      <c r="C1969" s="12" t="s">
        <v>792</v>
      </c>
      <c r="D1969" s="12" t="s">
        <v>457</v>
      </c>
      <c r="E1969" s="12" t="s">
        <v>798</v>
      </c>
      <c r="F1969" s="12" t="s">
        <v>794</v>
      </c>
      <c r="G1969" s="55">
        <v>6397</v>
      </c>
      <c r="H1969" s="55">
        <v>8529</v>
      </c>
      <c r="I1969" s="2" t="b">
        <f t="shared" si="31"/>
        <v>1</v>
      </c>
    </row>
    <row r="1970" spans="2:9" x14ac:dyDescent="0.25">
      <c r="B1970" s="161">
        <v>41110</v>
      </c>
      <c r="C1970" s="12" t="s">
        <v>802</v>
      </c>
      <c r="D1970" s="12" t="s">
        <v>652</v>
      </c>
      <c r="E1970" s="12" t="s">
        <v>800</v>
      </c>
      <c r="F1970" s="12" t="s">
        <v>796</v>
      </c>
      <c r="G1970" s="55">
        <v>3221</v>
      </c>
      <c r="H1970" s="55">
        <v>4295</v>
      </c>
      <c r="I1970" s="2" t="b">
        <f t="shared" si="31"/>
        <v>0</v>
      </c>
    </row>
    <row r="1971" spans="2:9" x14ac:dyDescent="0.25">
      <c r="B1971" s="161">
        <v>41211</v>
      </c>
      <c r="C1971" s="12" t="s">
        <v>802</v>
      </c>
      <c r="D1971" s="12" t="s">
        <v>801</v>
      </c>
      <c r="E1971" s="12" t="s">
        <v>487</v>
      </c>
      <c r="F1971" s="12" t="s">
        <v>796</v>
      </c>
      <c r="G1971" s="55">
        <v>2971</v>
      </c>
      <c r="H1971" s="55">
        <v>8027</v>
      </c>
      <c r="I1971" s="2" t="b">
        <f t="shared" si="31"/>
        <v>0</v>
      </c>
    </row>
    <row r="1972" spans="2:9" x14ac:dyDescent="0.25">
      <c r="B1972" s="161">
        <v>41359</v>
      </c>
      <c r="C1972" s="12" t="s">
        <v>802</v>
      </c>
      <c r="D1972" s="12" t="s">
        <v>801</v>
      </c>
      <c r="E1972" s="12" t="s">
        <v>795</v>
      </c>
      <c r="F1972" s="12" t="s">
        <v>791</v>
      </c>
      <c r="G1972" s="55">
        <v>4993</v>
      </c>
      <c r="H1972" s="55">
        <v>9080</v>
      </c>
      <c r="I1972" s="2" t="b">
        <f t="shared" si="31"/>
        <v>0</v>
      </c>
    </row>
    <row r="1973" spans="2:9" x14ac:dyDescent="0.25">
      <c r="B1973" s="161">
        <v>41168</v>
      </c>
      <c r="C1973" s="12" t="s">
        <v>792</v>
      </c>
      <c r="D1973" s="12" t="s">
        <v>801</v>
      </c>
      <c r="E1973" s="12" t="s">
        <v>806</v>
      </c>
      <c r="F1973" s="12" t="s">
        <v>796</v>
      </c>
      <c r="G1973" s="55">
        <v>4240</v>
      </c>
      <c r="H1973" s="55">
        <v>9862</v>
      </c>
      <c r="I1973" s="2" t="b">
        <f t="shared" si="31"/>
        <v>0</v>
      </c>
    </row>
    <row r="1974" spans="2:9" x14ac:dyDescent="0.25">
      <c r="B1974" s="161">
        <v>41056</v>
      </c>
      <c r="C1974" s="12" t="s">
        <v>802</v>
      </c>
      <c r="D1974" s="12" t="s">
        <v>652</v>
      </c>
      <c r="E1974" s="12" t="s">
        <v>808</v>
      </c>
      <c r="F1974" s="12" t="s">
        <v>796</v>
      </c>
      <c r="G1974" s="55">
        <v>5423</v>
      </c>
      <c r="H1974" s="55">
        <v>7230</v>
      </c>
      <c r="I1974" s="2" t="b">
        <f t="shared" si="31"/>
        <v>0</v>
      </c>
    </row>
    <row r="1975" spans="2:9" x14ac:dyDescent="0.25">
      <c r="B1975" s="161">
        <v>40962</v>
      </c>
      <c r="C1975" s="12" t="s">
        <v>805</v>
      </c>
      <c r="D1975" s="12" t="s">
        <v>797</v>
      </c>
      <c r="E1975" s="12" t="s">
        <v>803</v>
      </c>
      <c r="F1975" s="12" t="s">
        <v>796</v>
      </c>
      <c r="G1975" s="55">
        <v>5809</v>
      </c>
      <c r="H1975" s="55">
        <v>8542</v>
      </c>
      <c r="I1975" s="2" t="b">
        <f t="shared" si="31"/>
        <v>0</v>
      </c>
    </row>
    <row r="1976" spans="2:9" x14ac:dyDescent="0.25">
      <c r="B1976" s="161">
        <v>41462</v>
      </c>
      <c r="C1976" s="12" t="s">
        <v>802</v>
      </c>
      <c r="D1976" s="12" t="s">
        <v>457</v>
      </c>
      <c r="E1976" s="12" t="s">
        <v>804</v>
      </c>
      <c r="F1976" s="12" t="s">
        <v>799</v>
      </c>
      <c r="G1976" s="55">
        <v>1964</v>
      </c>
      <c r="H1976" s="55">
        <v>5309</v>
      </c>
      <c r="I1976" s="2" t="b">
        <f t="shared" si="31"/>
        <v>0</v>
      </c>
    </row>
    <row r="1977" spans="2:9" x14ac:dyDescent="0.25">
      <c r="B1977" s="161">
        <v>41316</v>
      </c>
      <c r="C1977" s="12" t="s">
        <v>802</v>
      </c>
      <c r="D1977" s="12" t="s">
        <v>801</v>
      </c>
      <c r="E1977" s="12" t="s">
        <v>487</v>
      </c>
      <c r="F1977" s="12" t="s">
        <v>794</v>
      </c>
      <c r="G1977" s="55">
        <v>2623</v>
      </c>
      <c r="H1977" s="55">
        <v>7091</v>
      </c>
      <c r="I1977" s="2" t="b">
        <f t="shared" si="31"/>
        <v>0</v>
      </c>
    </row>
    <row r="1978" spans="2:9" x14ac:dyDescent="0.25">
      <c r="B1978" s="161">
        <v>41066</v>
      </c>
      <c r="C1978" s="12" t="s">
        <v>790</v>
      </c>
      <c r="D1978" s="12" t="s">
        <v>797</v>
      </c>
      <c r="E1978" s="12" t="s">
        <v>807</v>
      </c>
      <c r="F1978" s="12" t="s">
        <v>791</v>
      </c>
      <c r="G1978" s="55">
        <v>5232</v>
      </c>
      <c r="H1978" s="55">
        <v>6975</v>
      </c>
      <c r="I1978" s="2" t="b">
        <f t="shared" si="31"/>
        <v>0</v>
      </c>
    </row>
    <row r="1979" spans="2:9" x14ac:dyDescent="0.25">
      <c r="B1979" s="161">
        <v>41265</v>
      </c>
      <c r="C1979" s="12" t="s">
        <v>802</v>
      </c>
      <c r="D1979" s="12" t="s">
        <v>652</v>
      </c>
      <c r="E1979" s="12" t="s">
        <v>800</v>
      </c>
      <c r="F1979" s="12" t="s">
        <v>791</v>
      </c>
      <c r="G1979" s="55">
        <v>4847</v>
      </c>
      <c r="H1979" s="55">
        <v>8216</v>
      </c>
      <c r="I1979" s="2" t="b">
        <f t="shared" si="31"/>
        <v>0</v>
      </c>
    </row>
    <row r="1980" spans="2:9" x14ac:dyDescent="0.25">
      <c r="B1980" s="161">
        <v>40911</v>
      </c>
      <c r="C1980" s="12" t="s">
        <v>805</v>
      </c>
      <c r="D1980" s="12" t="s">
        <v>652</v>
      </c>
      <c r="E1980" s="12" t="s">
        <v>807</v>
      </c>
      <c r="F1980" s="12" t="s">
        <v>791</v>
      </c>
      <c r="G1980" s="55">
        <v>4450</v>
      </c>
      <c r="H1980" s="55">
        <v>5055</v>
      </c>
      <c r="I1980" s="2" t="b">
        <f t="shared" si="31"/>
        <v>0</v>
      </c>
    </row>
    <row r="1981" spans="2:9" x14ac:dyDescent="0.25">
      <c r="B1981" s="161">
        <v>41523</v>
      </c>
      <c r="C1981" s="12" t="s">
        <v>790</v>
      </c>
      <c r="D1981" s="12" t="s">
        <v>797</v>
      </c>
      <c r="E1981" s="12" t="s">
        <v>807</v>
      </c>
      <c r="F1981" s="12" t="s">
        <v>796</v>
      </c>
      <c r="G1981" s="55">
        <v>3621</v>
      </c>
      <c r="H1981" s="55">
        <v>9783</v>
      </c>
      <c r="I1981" s="2" t="b">
        <f t="shared" si="31"/>
        <v>0</v>
      </c>
    </row>
    <row r="1982" spans="2:9" x14ac:dyDescent="0.25">
      <c r="B1982" s="161">
        <v>41323</v>
      </c>
      <c r="C1982" s="12" t="s">
        <v>790</v>
      </c>
      <c r="D1982" s="12" t="s">
        <v>457</v>
      </c>
      <c r="E1982" s="12" t="s">
        <v>798</v>
      </c>
      <c r="F1982" s="12" t="s">
        <v>799</v>
      </c>
      <c r="G1982" s="55">
        <v>3066</v>
      </c>
      <c r="H1982" s="55">
        <v>8284</v>
      </c>
      <c r="I1982" s="2" t="b">
        <f t="shared" si="31"/>
        <v>0</v>
      </c>
    </row>
    <row r="1983" spans="2:9" x14ac:dyDescent="0.25">
      <c r="B1983" s="161">
        <v>41473</v>
      </c>
      <c r="C1983" s="12" t="s">
        <v>802</v>
      </c>
      <c r="D1983" s="12" t="s">
        <v>652</v>
      </c>
      <c r="E1983" s="12" t="s">
        <v>808</v>
      </c>
      <c r="F1983" s="12" t="s">
        <v>794</v>
      </c>
      <c r="G1983" s="55">
        <v>1070</v>
      </c>
      <c r="H1983" s="55">
        <v>2888</v>
      </c>
      <c r="I1983" s="2" t="b">
        <f t="shared" si="31"/>
        <v>0</v>
      </c>
    </row>
    <row r="1984" spans="2:9" x14ac:dyDescent="0.25">
      <c r="B1984" s="161">
        <v>41354</v>
      </c>
      <c r="C1984" s="12" t="s">
        <v>790</v>
      </c>
      <c r="D1984" s="12" t="s">
        <v>797</v>
      </c>
      <c r="E1984" s="12" t="s">
        <v>795</v>
      </c>
      <c r="F1984" s="12" t="s">
        <v>791</v>
      </c>
      <c r="G1984" s="55">
        <v>4825</v>
      </c>
      <c r="H1984" s="55">
        <v>8770</v>
      </c>
      <c r="I1984" s="2" t="b">
        <f t="shared" si="31"/>
        <v>0</v>
      </c>
    </row>
    <row r="1985" spans="2:9" x14ac:dyDescent="0.25">
      <c r="B1985" s="161">
        <v>41485</v>
      </c>
      <c r="C1985" s="12" t="s">
        <v>805</v>
      </c>
      <c r="D1985" s="12" t="s">
        <v>652</v>
      </c>
      <c r="E1985" s="12" t="s">
        <v>795</v>
      </c>
      <c r="F1985" s="12" t="s">
        <v>796</v>
      </c>
      <c r="G1985" s="55">
        <v>5464</v>
      </c>
      <c r="H1985" s="55">
        <v>9261</v>
      </c>
      <c r="I1985" s="2" t="b">
        <f t="shared" si="31"/>
        <v>0</v>
      </c>
    </row>
    <row r="1986" spans="2:9" x14ac:dyDescent="0.25">
      <c r="B1986" s="161">
        <v>41564</v>
      </c>
      <c r="C1986" s="12" t="s">
        <v>790</v>
      </c>
      <c r="D1986" s="12" t="s">
        <v>457</v>
      </c>
      <c r="E1986" s="12" t="s">
        <v>793</v>
      </c>
      <c r="F1986" s="12" t="s">
        <v>794</v>
      </c>
      <c r="G1986" s="55">
        <v>3853</v>
      </c>
      <c r="H1986" s="55">
        <v>4121</v>
      </c>
      <c r="I1986" s="2" t="b">
        <f t="shared" si="31"/>
        <v>0</v>
      </c>
    </row>
    <row r="1987" spans="2:9" x14ac:dyDescent="0.25">
      <c r="B1987" s="161">
        <v>41213</v>
      </c>
      <c r="C1987" s="12" t="s">
        <v>805</v>
      </c>
      <c r="D1987" s="12" t="s">
        <v>797</v>
      </c>
      <c r="E1987" s="12" t="s">
        <v>809</v>
      </c>
      <c r="F1987" s="12" t="s">
        <v>799</v>
      </c>
      <c r="G1987" s="55">
        <v>5672</v>
      </c>
      <c r="H1987" s="55">
        <v>9611</v>
      </c>
      <c r="I1987" s="2" t="b">
        <f t="shared" si="31"/>
        <v>0</v>
      </c>
    </row>
    <row r="1988" spans="2:9" x14ac:dyDescent="0.25">
      <c r="B1988" s="161">
        <v>41335</v>
      </c>
      <c r="C1988" s="12" t="s">
        <v>790</v>
      </c>
      <c r="D1988" s="12" t="s">
        <v>797</v>
      </c>
      <c r="E1988" s="12" t="s">
        <v>800</v>
      </c>
      <c r="F1988" s="12" t="s">
        <v>796</v>
      </c>
      <c r="G1988" s="55">
        <v>2918</v>
      </c>
      <c r="H1988" s="55">
        <v>3120</v>
      </c>
      <c r="I1988" s="2" t="b">
        <f t="shared" si="31"/>
        <v>0</v>
      </c>
    </row>
    <row r="1989" spans="2:9" x14ac:dyDescent="0.25">
      <c r="B1989" s="161">
        <v>41076</v>
      </c>
      <c r="C1989" s="12" t="s">
        <v>790</v>
      </c>
      <c r="D1989" s="12" t="s">
        <v>801</v>
      </c>
      <c r="E1989" s="12" t="s">
        <v>807</v>
      </c>
      <c r="F1989" s="12" t="s">
        <v>796</v>
      </c>
      <c r="G1989" s="55">
        <v>4236</v>
      </c>
      <c r="H1989" s="55">
        <v>4813</v>
      </c>
      <c r="I1989" s="2" t="b">
        <f t="shared" si="31"/>
        <v>0</v>
      </c>
    </row>
    <row r="1990" spans="2:9" x14ac:dyDescent="0.25">
      <c r="B1990" s="161">
        <v>41067</v>
      </c>
      <c r="C1990" s="12" t="s">
        <v>790</v>
      </c>
      <c r="D1990" s="12" t="s">
        <v>457</v>
      </c>
      <c r="E1990" s="12" t="s">
        <v>807</v>
      </c>
      <c r="F1990" s="12" t="s">
        <v>796</v>
      </c>
      <c r="G1990" s="55">
        <v>5257</v>
      </c>
      <c r="H1990" s="55">
        <v>9556</v>
      </c>
      <c r="I1990" s="2" t="b">
        <f t="shared" si="31"/>
        <v>0</v>
      </c>
    </row>
    <row r="1991" spans="2:9" x14ac:dyDescent="0.25">
      <c r="B1991" s="161">
        <v>41326</v>
      </c>
      <c r="C1991" s="12" t="s">
        <v>790</v>
      </c>
      <c r="D1991" s="12" t="s">
        <v>652</v>
      </c>
      <c r="E1991" s="12" t="s">
        <v>607</v>
      </c>
      <c r="F1991" s="12" t="s">
        <v>796</v>
      </c>
      <c r="G1991" s="55">
        <v>133</v>
      </c>
      <c r="H1991" s="55">
        <v>308</v>
      </c>
      <c r="I1991" s="2" t="b">
        <f t="shared" ref="I1991:I2004" si="32">AND($K$9=C1991,$L$9=D1991,$M$9=F1991)</f>
        <v>0</v>
      </c>
    </row>
    <row r="1992" spans="2:9" x14ac:dyDescent="0.25">
      <c r="B1992" s="161">
        <v>41469</v>
      </c>
      <c r="C1992" s="12" t="s">
        <v>792</v>
      </c>
      <c r="D1992" s="12" t="s">
        <v>801</v>
      </c>
      <c r="E1992" s="12" t="s">
        <v>800</v>
      </c>
      <c r="F1992" s="12" t="s">
        <v>791</v>
      </c>
      <c r="G1992" s="55">
        <v>4237</v>
      </c>
      <c r="H1992" s="55">
        <v>7702</v>
      </c>
      <c r="I1992" s="2" t="b">
        <f t="shared" si="32"/>
        <v>0</v>
      </c>
    </row>
    <row r="1993" spans="2:9" x14ac:dyDescent="0.25">
      <c r="B1993" s="161">
        <v>41485</v>
      </c>
      <c r="C1993" s="12" t="s">
        <v>792</v>
      </c>
      <c r="D1993" s="12" t="s">
        <v>801</v>
      </c>
      <c r="E1993" s="12" t="s">
        <v>607</v>
      </c>
      <c r="F1993" s="12" t="s">
        <v>794</v>
      </c>
      <c r="G1993" s="55">
        <v>1056</v>
      </c>
      <c r="H1993" s="55">
        <v>1789</v>
      </c>
      <c r="I1993" s="2" t="b">
        <f t="shared" si="32"/>
        <v>0</v>
      </c>
    </row>
    <row r="1994" spans="2:9" x14ac:dyDescent="0.25">
      <c r="B1994" s="161">
        <v>40936</v>
      </c>
      <c r="C1994" s="12" t="s">
        <v>805</v>
      </c>
      <c r="D1994" s="12" t="s">
        <v>801</v>
      </c>
      <c r="E1994" s="12" t="s">
        <v>800</v>
      </c>
      <c r="F1994" s="12" t="s">
        <v>796</v>
      </c>
      <c r="G1994" s="55">
        <v>511</v>
      </c>
      <c r="H1994" s="55">
        <v>681</v>
      </c>
      <c r="I1994" s="2" t="b">
        <f t="shared" si="32"/>
        <v>0</v>
      </c>
    </row>
    <row r="1995" spans="2:9" x14ac:dyDescent="0.25">
      <c r="B1995" s="161">
        <v>41387</v>
      </c>
      <c r="C1995" s="12" t="s">
        <v>792</v>
      </c>
      <c r="D1995" s="12" t="s">
        <v>801</v>
      </c>
      <c r="E1995" s="12" t="s">
        <v>809</v>
      </c>
      <c r="F1995" s="12" t="s">
        <v>791</v>
      </c>
      <c r="G1995" s="55">
        <v>408</v>
      </c>
      <c r="H1995" s="55">
        <v>740</v>
      </c>
      <c r="I1995" s="2" t="b">
        <f t="shared" si="32"/>
        <v>0</v>
      </c>
    </row>
    <row r="1996" spans="2:9" x14ac:dyDescent="0.25">
      <c r="B1996" s="161">
        <v>41187</v>
      </c>
      <c r="C1996" s="12" t="s">
        <v>802</v>
      </c>
      <c r="D1996" s="12" t="s">
        <v>801</v>
      </c>
      <c r="E1996" s="12" t="s">
        <v>803</v>
      </c>
      <c r="F1996" s="12" t="s">
        <v>791</v>
      </c>
      <c r="G1996" s="55">
        <v>2580</v>
      </c>
      <c r="H1996" s="55">
        <v>6001</v>
      </c>
      <c r="I1996" s="2" t="b">
        <f t="shared" si="32"/>
        <v>0</v>
      </c>
    </row>
    <row r="1997" spans="2:9" x14ac:dyDescent="0.25">
      <c r="B1997" s="161">
        <v>41502</v>
      </c>
      <c r="C1997" s="12" t="s">
        <v>802</v>
      </c>
      <c r="D1997" s="12" t="s">
        <v>801</v>
      </c>
      <c r="E1997" s="12" t="s">
        <v>795</v>
      </c>
      <c r="F1997" s="12" t="s">
        <v>799</v>
      </c>
      <c r="G1997" s="55">
        <v>1384</v>
      </c>
      <c r="H1997" s="55">
        <v>2518</v>
      </c>
      <c r="I1997" s="2" t="b">
        <f t="shared" si="32"/>
        <v>0</v>
      </c>
    </row>
    <row r="1998" spans="2:9" x14ac:dyDescent="0.25">
      <c r="B1998" s="161">
        <v>40945</v>
      </c>
      <c r="C1998" s="12" t="s">
        <v>802</v>
      </c>
      <c r="D1998" s="12" t="s">
        <v>457</v>
      </c>
      <c r="E1998" s="12" t="s">
        <v>798</v>
      </c>
      <c r="F1998" s="12" t="s">
        <v>791</v>
      </c>
      <c r="G1998" s="55">
        <v>4350</v>
      </c>
      <c r="H1998" s="55">
        <v>9665</v>
      </c>
      <c r="I1998" s="2" t="b">
        <f t="shared" si="32"/>
        <v>0</v>
      </c>
    </row>
    <row r="1999" spans="2:9" x14ac:dyDescent="0.25">
      <c r="B1999" s="161">
        <v>41015</v>
      </c>
      <c r="C1999" s="12" t="s">
        <v>792</v>
      </c>
      <c r="D1999" s="12" t="s">
        <v>801</v>
      </c>
      <c r="E1999" s="12" t="s">
        <v>800</v>
      </c>
      <c r="F1999" s="12" t="s">
        <v>794</v>
      </c>
      <c r="G1999" s="55">
        <v>2988</v>
      </c>
      <c r="H1999" s="55">
        <v>4392</v>
      </c>
      <c r="I1999" s="2" t="b">
        <f t="shared" si="32"/>
        <v>0</v>
      </c>
    </row>
    <row r="2000" spans="2:9" x14ac:dyDescent="0.25">
      <c r="B2000" s="161">
        <v>41398</v>
      </c>
      <c r="C2000" s="12" t="s">
        <v>790</v>
      </c>
      <c r="D2000" s="12" t="s">
        <v>801</v>
      </c>
      <c r="E2000" s="12" t="s">
        <v>804</v>
      </c>
      <c r="F2000" s="12" t="s">
        <v>796</v>
      </c>
      <c r="G2000" s="55">
        <v>3987</v>
      </c>
      <c r="H2000" s="55">
        <v>8860</v>
      </c>
      <c r="I2000" s="2" t="b">
        <f t="shared" si="32"/>
        <v>0</v>
      </c>
    </row>
    <row r="2001" spans="2:9" x14ac:dyDescent="0.25">
      <c r="B2001" s="161">
        <v>41014</v>
      </c>
      <c r="C2001" s="12" t="s">
        <v>805</v>
      </c>
      <c r="D2001" s="12" t="s">
        <v>801</v>
      </c>
      <c r="E2001" s="12" t="s">
        <v>800</v>
      </c>
      <c r="F2001" s="12" t="s">
        <v>794</v>
      </c>
      <c r="G2001" s="55">
        <v>2393</v>
      </c>
      <c r="H2001" s="55">
        <v>2721</v>
      </c>
      <c r="I2001" s="2" t="b">
        <f t="shared" si="32"/>
        <v>0</v>
      </c>
    </row>
    <row r="2002" spans="2:9" x14ac:dyDescent="0.25">
      <c r="B2002" s="161">
        <v>41630</v>
      </c>
      <c r="C2002" s="12" t="s">
        <v>792</v>
      </c>
      <c r="D2002" s="12" t="s">
        <v>801</v>
      </c>
      <c r="E2002" s="12" t="s">
        <v>800</v>
      </c>
      <c r="F2002" s="12" t="s">
        <v>796</v>
      </c>
      <c r="G2002" s="55">
        <v>3655</v>
      </c>
      <c r="H2002" s="55">
        <v>4154</v>
      </c>
      <c r="I2002" s="2" t="b">
        <f t="shared" si="32"/>
        <v>0</v>
      </c>
    </row>
    <row r="2003" spans="2:9" x14ac:dyDescent="0.25">
      <c r="B2003" s="161">
        <v>41637</v>
      </c>
      <c r="C2003" s="12" t="s">
        <v>792</v>
      </c>
      <c r="D2003" s="12" t="s">
        <v>652</v>
      </c>
      <c r="E2003" s="12" t="s">
        <v>607</v>
      </c>
      <c r="F2003" s="12" t="s">
        <v>794</v>
      </c>
      <c r="G2003" s="55">
        <v>687</v>
      </c>
      <c r="H2003" s="55">
        <v>1250</v>
      </c>
      <c r="I2003" s="2" t="b">
        <f t="shared" si="32"/>
        <v>0</v>
      </c>
    </row>
    <row r="2004" spans="2:9" x14ac:dyDescent="0.25">
      <c r="B2004" s="161">
        <v>41632</v>
      </c>
      <c r="C2004" s="12" t="s">
        <v>802</v>
      </c>
      <c r="D2004" s="12" t="s">
        <v>457</v>
      </c>
      <c r="E2004" s="12" t="s">
        <v>807</v>
      </c>
      <c r="F2004" s="12" t="s">
        <v>794</v>
      </c>
      <c r="G2004" s="55">
        <v>435</v>
      </c>
      <c r="H2004" s="55">
        <v>1014</v>
      </c>
      <c r="I2004" s="2" t="b">
        <f t="shared" si="32"/>
        <v>0</v>
      </c>
    </row>
  </sheetData>
  <conditionalFormatting sqref="L9">
    <cfRule type="expression" dxfId="0" priority="1">
      <formula>AND($B12=#REF!,$C12=$I$16)</formula>
    </cfRule>
  </conditionalFormatting>
  <dataValidations count="3">
    <dataValidation type="list" allowBlank="1" showInputMessage="1" showErrorMessage="1" sqref="M9" xr:uid="{8548B164-8D4B-486B-B933-B0150A17FEB4}">
      <formula1>$F$6:$F$2004</formula1>
    </dataValidation>
    <dataValidation type="list" allowBlank="1" showInputMessage="1" showErrorMessage="1" sqref="K9" xr:uid="{9F59815C-327E-4087-8839-0324E7858FFA}">
      <formula1>$C$6:$C$2004</formula1>
    </dataValidation>
    <dataValidation type="list" allowBlank="1" showInputMessage="1" showErrorMessage="1" sqref="L9" xr:uid="{7414CFC0-A982-4963-95B6-FB1E2FA5681C}">
      <formula1>$D$6:$D$2004</formula1>
    </dataValidation>
  </dataValidation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E1A1A-88E9-4F20-8872-092BD1F0E240}">
  <sheetPr>
    <tabColor rgb="FF0000FF"/>
  </sheetPr>
  <dimension ref="B1:N69"/>
  <sheetViews>
    <sheetView zoomScaleNormal="100" workbookViewId="0">
      <selection activeCell="G11" sqref="G11"/>
    </sheetView>
  </sheetViews>
  <sheetFormatPr defaultRowHeight="15" x14ac:dyDescent="0.25"/>
  <cols>
    <col min="1" max="1" width="2.28515625" customWidth="1"/>
    <col min="2" max="2" width="15.7109375" customWidth="1"/>
    <col min="3" max="7" width="15.42578125" customWidth="1"/>
    <col min="8" max="8" width="10.7109375" customWidth="1"/>
    <col min="9" max="9" width="16" customWidth="1"/>
    <col min="10" max="10" width="14.7109375" customWidth="1"/>
    <col min="11" max="20" width="10.7109375" customWidth="1"/>
  </cols>
  <sheetData>
    <row r="1" spans="2:14" ht="6.6" customHeight="1" x14ac:dyDescent="0.25"/>
    <row r="2" spans="2:14" x14ac:dyDescent="0.25">
      <c r="B2" s="153" t="s">
        <v>587</v>
      </c>
      <c r="C2" s="147"/>
      <c r="D2" s="147"/>
      <c r="E2" s="147"/>
      <c r="F2" s="147"/>
      <c r="G2" s="147"/>
      <c r="H2" s="147"/>
      <c r="I2" s="147"/>
      <c r="J2" s="147"/>
      <c r="K2" s="147"/>
      <c r="L2" s="147"/>
      <c r="M2" s="147"/>
      <c r="N2" s="35"/>
    </row>
    <row r="3" spans="2:14" x14ac:dyDescent="0.25">
      <c r="B3" s="151" t="s">
        <v>594</v>
      </c>
      <c r="C3" s="155"/>
      <c r="D3" s="155"/>
      <c r="E3" s="155"/>
      <c r="F3" s="155"/>
      <c r="G3" s="155"/>
      <c r="H3" s="155"/>
      <c r="I3" s="155"/>
      <c r="J3" s="155"/>
      <c r="K3" s="155"/>
      <c r="L3" s="155"/>
      <c r="M3" s="155"/>
      <c r="N3" s="156"/>
    </row>
    <row r="4" spans="2:14" x14ac:dyDescent="0.25">
      <c r="B4" s="154" t="s">
        <v>588</v>
      </c>
      <c r="C4" s="155"/>
      <c r="D4" s="155"/>
      <c r="E4" s="155"/>
      <c r="F4" s="155"/>
      <c r="G4" s="155"/>
      <c r="H4" s="155"/>
      <c r="I4" s="155"/>
      <c r="J4" s="155"/>
      <c r="K4" s="155"/>
      <c r="L4" s="155"/>
      <c r="M4" s="155"/>
      <c r="N4" s="156"/>
    </row>
    <row r="5" spans="2:14" x14ac:dyDescent="0.25">
      <c r="B5" s="151" t="s">
        <v>595</v>
      </c>
      <c r="C5" s="155"/>
      <c r="D5" s="155"/>
      <c r="E5" s="155"/>
      <c r="F5" s="155"/>
      <c r="G5" s="155"/>
      <c r="H5" s="155"/>
      <c r="I5" s="155"/>
      <c r="J5" s="155"/>
      <c r="K5" s="155"/>
      <c r="L5" s="155"/>
      <c r="M5" s="155"/>
      <c r="N5" s="156"/>
    </row>
    <row r="6" spans="2:14" x14ac:dyDescent="0.25">
      <c r="B6" s="154" t="s">
        <v>596</v>
      </c>
      <c r="C6" s="155"/>
      <c r="D6" s="155"/>
      <c r="E6" s="155"/>
      <c r="F6" s="155"/>
      <c r="G6" s="155"/>
      <c r="H6" s="155"/>
      <c r="I6" s="155"/>
      <c r="J6" s="155"/>
      <c r="K6" s="155"/>
      <c r="L6" s="155"/>
      <c r="M6" s="155"/>
      <c r="N6" s="156"/>
    </row>
    <row r="7" spans="2:14" x14ac:dyDescent="0.25">
      <c r="B7" s="148" t="str">
        <f>"In cell "&amp;ADDRESS(ROW(B10),COLUMN(B10),4)&amp;" create a formula to add all sales from the Sales column."</f>
        <v>In cell B10 create a formula to add all sales from the Sales column.</v>
      </c>
      <c r="C7" s="149"/>
      <c r="D7" s="149"/>
      <c r="E7" s="149"/>
      <c r="F7" s="149"/>
      <c r="G7" s="149"/>
      <c r="H7" s="149"/>
      <c r="I7" s="149"/>
      <c r="J7" s="149"/>
      <c r="K7" s="149"/>
      <c r="L7" s="149"/>
      <c r="M7" s="149"/>
      <c r="N7" s="150"/>
    </row>
    <row r="8" spans="2:14" ht="6.6" customHeight="1" x14ac:dyDescent="0.25"/>
    <row r="10" spans="2:14" x14ac:dyDescent="0.25">
      <c r="B10" s="22" t="s">
        <v>589</v>
      </c>
      <c r="C10" s="22" t="s">
        <v>626</v>
      </c>
      <c r="D10" s="22" t="s">
        <v>608</v>
      </c>
      <c r="E10" s="22" t="s">
        <v>449</v>
      </c>
      <c r="F10" s="22" t="s">
        <v>609</v>
      </c>
      <c r="G10" s="22" t="s">
        <v>643</v>
      </c>
    </row>
    <row r="11" spans="2:14" x14ac:dyDescent="0.25">
      <c r="B11" t="s">
        <v>612</v>
      </c>
      <c r="C11" t="s">
        <v>628</v>
      </c>
      <c r="D11" t="s">
        <v>613</v>
      </c>
      <c r="E11" t="s">
        <v>614</v>
      </c>
      <c r="F11">
        <v>3.5</v>
      </c>
      <c r="G11" s="142">
        <f t="shared" ref="G11:G42" si="0">$K$11*IF(_xlfn.XLOOKUP(B11,$J$16:$J$24,$K$16:$K$24)="I",2,1)</f>
        <v>750</v>
      </c>
      <c r="J11" s="22" t="s">
        <v>646</v>
      </c>
      <c r="K11" s="12">
        <v>750</v>
      </c>
    </row>
    <row r="12" spans="2:14" x14ac:dyDescent="0.25">
      <c r="B12" t="s">
        <v>632</v>
      </c>
      <c r="C12" t="s">
        <v>627</v>
      </c>
      <c r="D12" t="s">
        <v>623</v>
      </c>
      <c r="E12" t="s">
        <v>614</v>
      </c>
      <c r="F12">
        <v>2.8</v>
      </c>
      <c r="G12" s="142">
        <f t="shared" si="0"/>
        <v>750</v>
      </c>
    </row>
    <row r="13" spans="2:14" x14ac:dyDescent="0.25">
      <c r="B13" t="s">
        <v>624</v>
      </c>
      <c r="C13" t="s">
        <v>630</v>
      </c>
      <c r="D13" t="s">
        <v>636</v>
      </c>
      <c r="E13" t="s">
        <v>452</v>
      </c>
      <c r="F13">
        <v>1.7</v>
      </c>
      <c r="G13" s="142">
        <f t="shared" si="0"/>
        <v>1500</v>
      </c>
      <c r="J13" s="1" t="s">
        <v>645</v>
      </c>
    </row>
    <row r="14" spans="2:14" x14ac:dyDescent="0.25">
      <c r="B14" t="s">
        <v>634</v>
      </c>
      <c r="C14" t="s">
        <v>628</v>
      </c>
      <c r="D14" t="s">
        <v>617</v>
      </c>
      <c r="E14" t="s">
        <v>452</v>
      </c>
      <c r="F14">
        <v>3.2</v>
      </c>
      <c r="G14" s="142">
        <f t="shared" si="0"/>
        <v>750</v>
      </c>
    </row>
    <row r="15" spans="2:14" x14ac:dyDescent="0.25">
      <c r="B15" t="s">
        <v>634</v>
      </c>
      <c r="C15" t="s">
        <v>628</v>
      </c>
      <c r="D15" t="s">
        <v>613</v>
      </c>
      <c r="E15" t="s">
        <v>614</v>
      </c>
      <c r="F15">
        <v>2.7</v>
      </c>
      <c r="G15" s="142">
        <f t="shared" si="0"/>
        <v>750</v>
      </c>
      <c r="J15" s="22" t="s">
        <v>590</v>
      </c>
      <c r="K15" s="22" t="s">
        <v>644</v>
      </c>
    </row>
    <row r="16" spans="2:14" x14ac:dyDescent="0.25">
      <c r="B16" t="s">
        <v>633</v>
      </c>
      <c r="C16" t="s">
        <v>629</v>
      </c>
      <c r="D16" t="s">
        <v>639</v>
      </c>
      <c r="E16" t="s">
        <v>622</v>
      </c>
      <c r="F16">
        <v>2.9</v>
      </c>
      <c r="G16" s="142">
        <f t="shared" si="0"/>
        <v>750</v>
      </c>
      <c r="J16" s="12" t="s">
        <v>610</v>
      </c>
      <c r="K16" s="12" t="s">
        <v>642</v>
      </c>
    </row>
    <row r="17" spans="2:11" x14ac:dyDescent="0.25">
      <c r="B17" t="s">
        <v>631</v>
      </c>
      <c r="C17" t="s">
        <v>630</v>
      </c>
      <c r="D17" t="s">
        <v>625</v>
      </c>
      <c r="E17" t="s">
        <v>622</v>
      </c>
      <c r="F17">
        <v>2.6</v>
      </c>
      <c r="G17" s="142">
        <f t="shared" si="0"/>
        <v>1500</v>
      </c>
      <c r="J17" s="12" t="s">
        <v>612</v>
      </c>
      <c r="K17" s="12" t="s">
        <v>641</v>
      </c>
    </row>
    <row r="18" spans="2:11" x14ac:dyDescent="0.25">
      <c r="B18" t="s">
        <v>610</v>
      </c>
      <c r="C18" t="s">
        <v>627</v>
      </c>
      <c r="D18" t="s">
        <v>637</v>
      </c>
      <c r="E18" t="s">
        <v>614</v>
      </c>
      <c r="F18">
        <v>2.9</v>
      </c>
      <c r="G18" s="142">
        <f t="shared" si="0"/>
        <v>1500</v>
      </c>
      <c r="J18" s="12" t="s">
        <v>615</v>
      </c>
      <c r="K18" s="12" t="s">
        <v>641</v>
      </c>
    </row>
    <row r="19" spans="2:11" x14ac:dyDescent="0.25">
      <c r="B19" t="s">
        <v>633</v>
      </c>
      <c r="C19" t="s">
        <v>629</v>
      </c>
      <c r="D19" t="s">
        <v>636</v>
      </c>
      <c r="E19" t="s">
        <v>452</v>
      </c>
      <c r="F19">
        <v>3</v>
      </c>
      <c r="G19" s="142">
        <f t="shared" si="0"/>
        <v>750</v>
      </c>
      <c r="J19" s="12" t="s">
        <v>624</v>
      </c>
      <c r="K19" s="12" t="s">
        <v>642</v>
      </c>
    </row>
    <row r="20" spans="2:11" x14ac:dyDescent="0.25">
      <c r="B20" t="s">
        <v>631</v>
      </c>
      <c r="C20" t="s">
        <v>630</v>
      </c>
      <c r="D20" t="s">
        <v>639</v>
      </c>
      <c r="E20" t="s">
        <v>622</v>
      </c>
      <c r="F20">
        <v>3.5</v>
      </c>
      <c r="G20" s="142">
        <f t="shared" si="0"/>
        <v>1500</v>
      </c>
      <c r="J20" s="12" t="s">
        <v>631</v>
      </c>
      <c r="K20" s="12" t="s">
        <v>642</v>
      </c>
    </row>
    <row r="21" spans="2:11" x14ac:dyDescent="0.25">
      <c r="B21" t="s">
        <v>610</v>
      </c>
      <c r="C21" t="s">
        <v>627</v>
      </c>
      <c r="D21" t="s">
        <v>618</v>
      </c>
      <c r="E21" t="s">
        <v>614</v>
      </c>
      <c r="F21">
        <v>2.2999999999999998</v>
      </c>
      <c r="G21" s="142">
        <f t="shared" si="0"/>
        <v>1500</v>
      </c>
      <c r="J21" s="12" t="s">
        <v>632</v>
      </c>
      <c r="K21" s="12" t="s">
        <v>641</v>
      </c>
    </row>
    <row r="22" spans="2:11" x14ac:dyDescent="0.25">
      <c r="B22" t="s">
        <v>632</v>
      </c>
      <c r="C22" t="s">
        <v>627</v>
      </c>
      <c r="D22" t="s">
        <v>637</v>
      </c>
      <c r="E22" t="s">
        <v>614</v>
      </c>
      <c r="F22">
        <v>2.2000000000000002</v>
      </c>
      <c r="G22" s="142">
        <f t="shared" si="0"/>
        <v>750</v>
      </c>
      <c r="J22" s="12" t="s">
        <v>634</v>
      </c>
      <c r="K22" s="12" t="s">
        <v>641</v>
      </c>
    </row>
    <row r="23" spans="2:11" x14ac:dyDescent="0.25">
      <c r="B23" t="s">
        <v>634</v>
      </c>
      <c r="C23" t="s">
        <v>628</v>
      </c>
      <c r="D23" t="s">
        <v>611</v>
      </c>
      <c r="E23" t="s">
        <v>452</v>
      </c>
      <c r="F23">
        <v>2.6</v>
      </c>
      <c r="G23" s="142">
        <f t="shared" si="0"/>
        <v>750</v>
      </c>
      <c r="J23" s="12" t="s">
        <v>633</v>
      </c>
      <c r="K23" s="12" t="s">
        <v>641</v>
      </c>
    </row>
    <row r="24" spans="2:11" x14ac:dyDescent="0.25">
      <c r="B24" t="s">
        <v>631</v>
      </c>
      <c r="C24" t="s">
        <v>630</v>
      </c>
      <c r="D24" t="s">
        <v>637</v>
      </c>
      <c r="E24" t="s">
        <v>614</v>
      </c>
      <c r="F24">
        <v>2.5</v>
      </c>
      <c r="G24" s="142">
        <f t="shared" si="0"/>
        <v>1500</v>
      </c>
      <c r="J24" s="12" t="s">
        <v>635</v>
      </c>
      <c r="K24" s="12" t="s">
        <v>642</v>
      </c>
    </row>
    <row r="25" spans="2:11" x14ac:dyDescent="0.25">
      <c r="B25" t="s">
        <v>624</v>
      </c>
      <c r="C25" t="s">
        <v>630</v>
      </c>
      <c r="D25" t="s">
        <v>639</v>
      </c>
      <c r="E25" t="s">
        <v>622</v>
      </c>
      <c r="F25">
        <v>3.4</v>
      </c>
      <c r="G25" s="142">
        <f t="shared" si="0"/>
        <v>1500</v>
      </c>
    </row>
    <row r="26" spans="2:11" x14ac:dyDescent="0.25">
      <c r="B26" t="s">
        <v>634</v>
      </c>
      <c r="C26" t="s">
        <v>628</v>
      </c>
      <c r="D26" t="s">
        <v>616</v>
      </c>
      <c r="E26" t="s">
        <v>614</v>
      </c>
      <c r="F26">
        <v>2.7</v>
      </c>
      <c r="G26" s="142">
        <f t="shared" si="0"/>
        <v>750</v>
      </c>
    </row>
    <row r="27" spans="2:11" x14ac:dyDescent="0.25">
      <c r="B27" t="s">
        <v>634</v>
      </c>
      <c r="C27" t="s">
        <v>628</v>
      </c>
      <c r="D27" t="s">
        <v>636</v>
      </c>
      <c r="E27" t="s">
        <v>452</v>
      </c>
      <c r="F27">
        <v>3.9</v>
      </c>
      <c r="G27" s="142">
        <f t="shared" si="0"/>
        <v>750</v>
      </c>
    </row>
    <row r="28" spans="2:11" x14ac:dyDescent="0.25">
      <c r="B28" t="s">
        <v>635</v>
      </c>
      <c r="C28" t="s">
        <v>630</v>
      </c>
      <c r="D28" t="s">
        <v>621</v>
      </c>
      <c r="E28" t="s">
        <v>622</v>
      </c>
      <c r="F28">
        <v>3.3</v>
      </c>
      <c r="G28" s="142">
        <f t="shared" si="0"/>
        <v>1500</v>
      </c>
    </row>
    <row r="29" spans="2:11" x14ac:dyDescent="0.25">
      <c r="B29" t="s">
        <v>610</v>
      </c>
      <c r="C29" t="s">
        <v>627</v>
      </c>
      <c r="D29" t="s">
        <v>636</v>
      </c>
      <c r="E29" t="s">
        <v>452</v>
      </c>
      <c r="F29">
        <v>3</v>
      </c>
      <c r="G29" s="142">
        <f t="shared" si="0"/>
        <v>1500</v>
      </c>
    </row>
    <row r="30" spans="2:11" x14ac:dyDescent="0.25">
      <c r="B30" t="s">
        <v>634</v>
      </c>
      <c r="C30" t="s">
        <v>628</v>
      </c>
      <c r="D30" t="s">
        <v>638</v>
      </c>
      <c r="E30" t="s">
        <v>452</v>
      </c>
      <c r="F30">
        <v>2.6</v>
      </c>
      <c r="G30" s="142">
        <f t="shared" si="0"/>
        <v>750</v>
      </c>
    </row>
    <row r="31" spans="2:11" x14ac:dyDescent="0.25">
      <c r="B31" t="s">
        <v>624</v>
      </c>
      <c r="C31" t="s">
        <v>630</v>
      </c>
      <c r="D31" t="s">
        <v>638</v>
      </c>
      <c r="E31" t="s">
        <v>452</v>
      </c>
      <c r="F31">
        <v>2.8</v>
      </c>
      <c r="G31" s="142">
        <f t="shared" si="0"/>
        <v>1500</v>
      </c>
    </row>
    <row r="32" spans="2:11" x14ac:dyDescent="0.25">
      <c r="B32" t="s">
        <v>612</v>
      </c>
      <c r="C32" t="s">
        <v>628</v>
      </c>
      <c r="D32" t="s">
        <v>640</v>
      </c>
      <c r="E32" t="s">
        <v>620</v>
      </c>
      <c r="F32">
        <v>3.6</v>
      </c>
      <c r="G32" s="142">
        <f t="shared" si="0"/>
        <v>750</v>
      </c>
    </row>
    <row r="33" spans="2:7" x14ac:dyDescent="0.25">
      <c r="B33" t="s">
        <v>634</v>
      </c>
      <c r="C33" t="s">
        <v>628</v>
      </c>
      <c r="D33" t="s">
        <v>640</v>
      </c>
      <c r="E33" t="s">
        <v>620</v>
      </c>
      <c r="F33">
        <v>3.8</v>
      </c>
      <c r="G33" s="142">
        <f t="shared" si="0"/>
        <v>750</v>
      </c>
    </row>
    <row r="34" spans="2:7" x14ac:dyDescent="0.25">
      <c r="B34" t="s">
        <v>635</v>
      </c>
      <c r="C34" t="s">
        <v>630</v>
      </c>
      <c r="D34" t="s">
        <v>613</v>
      </c>
      <c r="E34" t="s">
        <v>614</v>
      </c>
      <c r="F34">
        <v>2.9</v>
      </c>
      <c r="G34" s="142">
        <f t="shared" si="0"/>
        <v>1500</v>
      </c>
    </row>
    <row r="35" spans="2:7" x14ac:dyDescent="0.25">
      <c r="B35" t="s">
        <v>612</v>
      </c>
      <c r="C35" t="s">
        <v>628</v>
      </c>
      <c r="D35" t="s">
        <v>621</v>
      </c>
      <c r="E35" t="s">
        <v>622</v>
      </c>
      <c r="F35">
        <v>3.8</v>
      </c>
      <c r="G35" s="142">
        <f t="shared" si="0"/>
        <v>750</v>
      </c>
    </row>
    <row r="36" spans="2:7" x14ac:dyDescent="0.25">
      <c r="B36" t="s">
        <v>634</v>
      </c>
      <c r="C36" t="s">
        <v>628</v>
      </c>
      <c r="D36" t="s">
        <v>639</v>
      </c>
      <c r="E36" t="s">
        <v>622</v>
      </c>
      <c r="F36">
        <v>2.7</v>
      </c>
      <c r="G36" s="142">
        <f t="shared" si="0"/>
        <v>750</v>
      </c>
    </row>
    <row r="37" spans="2:7" x14ac:dyDescent="0.25">
      <c r="B37" t="s">
        <v>610</v>
      </c>
      <c r="C37" t="s">
        <v>627</v>
      </c>
      <c r="D37" t="s">
        <v>640</v>
      </c>
      <c r="E37" t="s">
        <v>620</v>
      </c>
      <c r="F37">
        <v>2.8</v>
      </c>
      <c r="G37" s="142">
        <f t="shared" si="0"/>
        <v>1500</v>
      </c>
    </row>
    <row r="38" spans="2:7" x14ac:dyDescent="0.25">
      <c r="B38" t="s">
        <v>632</v>
      </c>
      <c r="C38" t="s">
        <v>627</v>
      </c>
      <c r="D38" t="s">
        <v>619</v>
      </c>
      <c r="E38" t="s">
        <v>620</v>
      </c>
      <c r="F38">
        <v>3.2</v>
      </c>
      <c r="G38" s="142">
        <f t="shared" si="0"/>
        <v>750</v>
      </c>
    </row>
    <row r="39" spans="2:7" x14ac:dyDescent="0.25">
      <c r="B39" t="s">
        <v>635</v>
      </c>
      <c r="C39" t="s">
        <v>630</v>
      </c>
      <c r="D39" t="s">
        <v>640</v>
      </c>
      <c r="E39" t="s">
        <v>620</v>
      </c>
      <c r="F39">
        <v>2.5</v>
      </c>
      <c r="G39" s="142">
        <f t="shared" si="0"/>
        <v>1500</v>
      </c>
    </row>
    <row r="40" spans="2:7" x14ac:dyDescent="0.25">
      <c r="B40" t="s">
        <v>632</v>
      </c>
      <c r="C40" t="s">
        <v>627</v>
      </c>
      <c r="D40" t="s">
        <v>611</v>
      </c>
      <c r="E40" t="s">
        <v>452</v>
      </c>
      <c r="F40">
        <v>3.1</v>
      </c>
      <c r="G40" s="142">
        <f t="shared" si="0"/>
        <v>750</v>
      </c>
    </row>
    <row r="41" spans="2:7" x14ac:dyDescent="0.25">
      <c r="B41" t="s">
        <v>615</v>
      </c>
      <c r="C41" t="s">
        <v>629</v>
      </c>
      <c r="D41" t="s">
        <v>639</v>
      </c>
      <c r="E41" t="s">
        <v>622</v>
      </c>
      <c r="F41">
        <v>2.6</v>
      </c>
      <c r="G41" s="142">
        <f t="shared" si="0"/>
        <v>750</v>
      </c>
    </row>
    <row r="42" spans="2:7" x14ac:dyDescent="0.25">
      <c r="B42" t="s">
        <v>612</v>
      </c>
      <c r="C42" t="s">
        <v>628</v>
      </c>
      <c r="D42" t="s">
        <v>637</v>
      </c>
      <c r="E42" t="s">
        <v>614</v>
      </c>
      <c r="F42">
        <v>2.5</v>
      </c>
      <c r="G42" s="142">
        <f t="shared" si="0"/>
        <v>750</v>
      </c>
    </row>
    <row r="43" spans="2:7" x14ac:dyDescent="0.25">
      <c r="B43" t="s">
        <v>612</v>
      </c>
      <c r="C43" t="s">
        <v>628</v>
      </c>
      <c r="D43" t="s">
        <v>616</v>
      </c>
      <c r="E43" t="s">
        <v>614</v>
      </c>
      <c r="F43">
        <v>3.2</v>
      </c>
      <c r="G43" s="142">
        <f t="shared" ref="G43:G69" si="1">$K$11*IF(_xlfn.XLOOKUP(B43,$J$16:$J$24,$K$16:$K$24)="I",2,1)</f>
        <v>750</v>
      </c>
    </row>
    <row r="44" spans="2:7" x14ac:dyDescent="0.25">
      <c r="B44" t="s">
        <v>615</v>
      </c>
      <c r="C44" t="s">
        <v>629</v>
      </c>
      <c r="D44" t="s">
        <v>625</v>
      </c>
      <c r="E44" t="s">
        <v>622</v>
      </c>
      <c r="F44">
        <v>2.6</v>
      </c>
      <c r="G44" s="142">
        <f t="shared" si="1"/>
        <v>750</v>
      </c>
    </row>
    <row r="45" spans="2:7" x14ac:dyDescent="0.25">
      <c r="B45" t="s">
        <v>610</v>
      </c>
      <c r="C45" t="s">
        <v>627</v>
      </c>
      <c r="D45" t="s">
        <v>623</v>
      </c>
      <c r="E45" t="s">
        <v>614</v>
      </c>
      <c r="F45">
        <v>3.5</v>
      </c>
      <c r="G45" s="142">
        <f t="shared" si="1"/>
        <v>1500</v>
      </c>
    </row>
    <row r="46" spans="2:7" x14ac:dyDescent="0.25">
      <c r="B46" t="s">
        <v>634</v>
      </c>
      <c r="C46" t="s">
        <v>628</v>
      </c>
      <c r="D46" t="s">
        <v>621</v>
      </c>
      <c r="E46" t="s">
        <v>622</v>
      </c>
      <c r="F46">
        <v>2.2999999999999998</v>
      </c>
      <c r="G46" s="142">
        <f t="shared" si="1"/>
        <v>750</v>
      </c>
    </row>
    <row r="47" spans="2:7" x14ac:dyDescent="0.25">
      <c r="B47" t="s">
        <v>632</v>
      </c>
      <c r="C47" t="s">
        <v>627</v>
      </c>
      <c r="D47" t="s">
        <v>625</v>
      </c>
      <c r="E47" t="s">
        <v>622</v>
      </c>
      <c r="F47">
        <v>1.9</v>
      </c>
      <c r="G47" s="142">
        <f t="shared" si="1"/>
        <v>750</v>
      </c>
    </row>
    <row r="48" spans="2:7" x14ac:dyDescent="0.25">
      <c r="B48" t="s">
        <v>633</v>
      </c>
      <c r="C48" t="s">
        <v>629</v>
      </c>
      <c r="D48" t="s">
        <v>618</v>
      </c>
      <c r="E48" t="s">
        <v>614</v>
      </c>
      <c r="F48">
        <v>3.1</v>
      </c>
      <c r="G48" s="142">
        <f t="shared" si="1"/>
        <v>750</v>
      </c>
    </row>
    <row r="49" spans="2:7" x14ac:dyDescent="0.25">
      <c r="B49" t="s">
        <v>631</v>
      </c>
      <c r="C49" t="s">
        <v>630</v>
      </c>
      <c r="D49" t="s">
        <v>638</v>
      </c>
      <c r="E49" t="s">
        <v>452</v>
      </c>
      <c r="F49">
        <v>2.8</v>
      </c>
      <c r="G49" s="142">
        <f t="shared" si="1"/>
        <v>1500</v>
      </c>
    </row>
    <row r="50" spans="2:7" x14ac:dyDescent="0.25">
      <c r="B50" t="s">
        <v>632</v>
      </c>
      <c r="C50" t="s">
        <v>627</v>
      </c>
      <c r="D50" t="s">
        <v>636</v>
      </c>
      <c r="E50" t="s">
        <v>452</v>
      </c>
      <c r="F50">
        <v>2.5</v>
      </c>
      <c r="G50" s="142">
        <f t="shared" si="1"/>
        <v>750</v>
      </c>
    </row>
    <row r="51" spans="2:7" x14ac:dyDescent="0.25">
      <c r="B51" t="s">
        <v>633</v>
      </c>
      <c r="C51" t="s">
        <v>629</v>
      </c>
      <c r="D51" t="s">
        <v>611</v>
      </c>
      <c r="E51" t="s">
        <v>452</v>
      </c>
      <c r="F51">
        <v>3</v>
      </c>
      <c r="G51" s="142">
        <f t="shared" si="1"/>
        <v>750</v>
      </c>
    </row>
    <row r="52" spans="2:7" x14ac:dyDescent="0.25">
      <c r="B52" t="s">
        <v>615</v>
      </c>
      <c r="C52" t="s">
        <v>629</v>
      </c>
      <c r="D52" t="s">
        <v>638</v>
      </c>
      <c r="E52" t="s">
        <v>452</v>
      </c>
      <c r="F52">
        <v>2</v>
      </c>
      <c r="G52" s="142">
        <f t="shared" si="1"/>
        <v>750</v>
      </c>
    </row>
    <row r="53" spans="2:7" x14ac:dyDescent="0.25">
      <c r="B53" t="s">
        <v>632</v>
      </c>
      <c r="C53" t="s">
        <v>627</v>
      </c>
      <c r="D53" t="s">
        <v>638</v>
      </c>
      <c r="E53" t="s">
        <v>452</v>
      </c>
      <c r="F53">
        <v>2</v>
      </c>
      <c r="G53" s="142">
        <f t="shared" si="1"/>
        <v>750</v>
      </c>
    </row>
    <row r="54" spans="2:7" x14ac:dyDescent="0.25">
      <c r="B54" t="s">
        <v>635</v>
      </c>
      <c r="C54" t="s">
        <v>630</v>
      </c>
      <c r="D54" t="s">
        <v>611</v>
      </c>
      <c r="E54" t="s">
        <v>452</v>
      </c>
      <c r="F54">
        <v>3.1</v>
      </c>
      <c r="G54" s="142">
        <f t="shared" si="1"/>
        <v>1500</v>
      </c>
    </row>
    <row r="55" spans="2:7" x14ac:dyDescent="0.25">
      <c r="B55" t="s">
        <v>635</v>
      </c>
      <c r="C55" t="s">
        <v>630</v>
      </c>
      <c r="D55" t="s">
        <v>638</v>
      </c>
      <c r="E55" t="s">
        <v>452</v>
      </c>
      <c r="F55">
        <v>2</v>
      </c>
      <c r="G55" s="142">
        <f t="shared" si="1"/>
        <v>1500</v>
      </c>
    </row>
    <row r="56" spans="2:7" x14ac:dyDescent="0.25">
      <c r="B56" t="s">
        <v>612</v>
      </c>
      <c r="C56" t="s">
        <v>628</v>
      </c>
      <c r="D56" t="s">
        <v>623</v>
      </c>
      <c r="E56" t="s">
        <v>614</v>
      </c>
      <c r="F56">
        <v>2.7</v>
      </c>
      <c r="G56" s="142">
        <f t="shared" si="1"/>
        <v>750</v>
      </c>
    </row>
    <row r="57" spans="2:7" x14ac:dyDescent="0.25">
      <c r="B57" t="s">
        <v>631</v>
      </c>
      <c r="C57" t="s">
        <v>630</v>
      </c>
      <c r="D57" t="s">
        <v>618</v>
      </c>
      <c r="E57" t="s">
        <v>614</v>
      </c>
      <c r="F57">
        <v>3.3</v>
      </c>
      <c r="G57" s="142">
        <f t="shared" si="1"/>
        <v>1500</v>
      </c>
    </row>
    <row r="58" spans="2:7" x14ac:dyDescent="0.25">
      <c r="B58" t="s">
        <v>632</v>
      </c>
      <c r="C58" t="s">
        <v>627</v>
      </c>
      <c r="D58" t="s">
        <v>640</v>
      </c>
      <c r="E58" t="s">
        <v>620</v>
      </c>
      <c r="F58">
        <v>2.9</v>
      </c>
      <c r="G58" s="142">
        <f t="shared" si="1"/>
        <v>750</v>
      </c>
    </row>
    <row r="59" spans="2:7" x14ac:dyDescent="0.25">
      <c r="B59" t="s">
        <v>615</v>
      </c>
      <c r="C59" t="s">
        <v>629</v>
      </c>
      <c r="D59" t="s">
        <v>619</v>
      </c>
      <c r="E59" t="s">
        <v>620</v>
      </c>
      <c r="F59">
        <v>2.8</v>
      </c>
      <c r="G59" s="142">
        <f t="shared" si="1"/>
        <v>750</v>
      </c>
    </row>
    <row r="60" spans="2:7" x14ac:dyDescent="0.25">
      <c r="B60" t="s">
        <v>632</v>
      </c>
      <c r="C60" t="s">
        <v>627</v>
      </c>
      <c r="D60" t="s">
        <v>621</v>
      </c>
      <c r="E60" t="s">
        <v>622</v>
      </c>
      <c r="F60">
        <v>4</v>
      </c>
      <c r="G60" s="142">
        <f t="shared" si="1"/>
        <v>750</v>
      </c>
    </row>
    <row r="61" spans="2:7" x14ac:dyDescent="0.25">
      <c r="B61" t="s">
        <v>634</v>
      </c>
      <c r="C61" t="s">
        <v>628</v>
      </c>
      <c r="D61" t="s">
        <v>637</v>
      </c>
      <c r="E61" t="s">
        <v>614</v>
      </c>
      <c r="F61">
        <v>3.1</v>
      </c>
      <c r="G61" s="142">
        <f t="shared" si="1"/>
        <v>750</v>
      </c>
    </row>
    <row r="62" spans="2:7" x14ac:dyDescent="0.25">
      <c r="B62" t="s">
        <v>610</v>
      </c>
      <c r="C62" t="s">
        <v>627</v>
      </c>
      <c r="D62" t="s">
        <v>619</v>
      </c>
      <c r="E62" t="s">
        <v>620</v>
      </c>
      <c r="F62">
        <v>2.8</v>
      </c>
      <c r="G62" s="142">
        <f t="shared" si="1"/>
        <v>1500</v>
      </c>
    </row>
    <row r="63" spans="2:7" x14ac:dyDescent="0.25">
      <c r="B63" t="s">
        <v>632</v>
      </c>
      <c r="C63" t="s">
        <v>627</v>
      </c>
      <c r="D63" t="s">
        <v>617</v>
      </c>
      <c r="E63" t="s">
        <v>452</v>
      </c>
      <c r="F63">
        <v>3</v>
      </c>
      <c r="G63" s="142">
        <f t="shared" si="1"/>
        <v>750</v>
      </c>
    </row>
    <row r="64" spans="2:7" x14ac:dyDescent="0.25">
      <c r="B64" t="s">
        <v>615</v>
      </c>
      <c r="C64" t="s">
        <v>629</v>
      </c>
      <c r="D64" t="s">
        <v>616</v>
      </c>
      <c r="E64" t="s">
        <v>614</v>
      </c>
      <c r="F64">
        <v>3.2</v>
      </c>
      <c r="G64" s="142">
        <f t="shared" si="1"/>
        <v>750</v>
      </c>
    </row>
    <row r="65" spans="2:7" x14ac:dyDescent="0.25">
      <c r="B65" t="s">
        <v>612</v>
      </c>
      <c r="C65" t="s">
        <v>628</v>
      </c>
      <c r="D65" t="s">
        <v>617</v>
      </c>
      <c r="E65" t="s">
        <v>452</v>
      </c>
      <c r="F65">
        <v>2.7</v>
      </c>
      <c r="G65" s="142">
        <f t="shared" si="1"/>
        <v>750</v>
      </c>
    </row>
    <row r="66" spans="2:7" x14ac:dyDescent="0.25">
      <c r="B66" t="s">
        <v>631</v>
      </c>
      <c r="C66" t="s">
        <v>630</v>
      </c>
      <c r="D66" t="s">
        <v>617</v>
      </c>
      <c r="E66" t="s">
        <v>452</v>
      </c>
      <c r="F66">
        <v>3.4</v>
      </c>
      <c r="G66" s="142">
        <f t="shared" si="1"/>
        <v>1500</v>
      </c>
    </row>
    <row r="67" spans="2:7" x14ac:dyDescent="0.25">
      <c r="B67" t="s">
        <v>634</v>
      </c>
      <c r="C67" t="s">
        <v>628</v>
      </c>
      <c r="D67" t="s">
        <v>618</v>
      </c>
      <c r="E67" t="s">
        <v>614</v>
      </c>
      <c r="F67">
        <v>3.1</v>
      </c>
      <c r="G67" s="142">
        <f t="shared" si="1"/>
        <v>750</v>
      </c>
    </row>
    <row r="68" spans="2:7" x14ac:dyDescent="0.25">
      <c r="B68" t="s">
        <v>635</v>
      </c>
      <c r="C68" t="s">
        <v>630</v>
      </c>
      <c r="D68" t="s">
        <v>625</v>
      </c>
      <c r="E68" t="s">
        <v>622</v>
      </c>
      <c r="F68">
        <v>3</v>
      </c>
      <c r="G68" s="142">
        <f t="shared" si="1"/>
        <v>1500</v>
      </c>
    </row>
    <row r="69" spans="2:7" x14ac:dyDescent="0.25">
      <c r="B69" t="s">
        <v>635</v>
      </c>
      <c r="C69" t="s">
        <v>630</v>
      </c>
      <c r="D69" t="s">
        <v>618</v>
      </c>
      <c r="E69" t="s">
        <v>614</v>
      </c>
      <c r="F69">
        <v>3.2</v>
      </c>
      <c r="G69" s="142">
        <f t="shared" si="1"/>
        <v>1500</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9FD7F-D03A-43F0-AD4C-4DA014D315C7}">
  <dimension ref="B2:R77"/>
  <sheetViews>
    <sheetView zoomScale="85" zoomScaleNormal="85" workbookViewId="0"/>
  </sheetViews>
  <sheetFormatPr defaultRowHeight="15" x14ac:dyDescent="0.25"/>
  <cols>
    <col min="2" max="2" width="5" customWidth="1"/>
    <col min="5" max="5" width="11.42578125" customWidth="1"/>
    <col min="8" max="8" width="32.7109375" customWidth="1"/>
    <col min="9" max="9" width="19.28515625" customWidth="1"/>
    <col min="10" max="10" width="17.140625" customWidth="1"/>
    <col min="16" max="16" width="18.7109375" bestFit="1" customWidth="1"/>
    <col min="21" max="21" width="30.7109375" bestFit="1" customWidth="1"/>
    <col min="22" max="22" width="2.140625" customWidth="1"/>
    <col min="25" max="25" width="1.7109375" customWidth="1"/>
  </cols>
  <sheetData>
    <row r="2" spans="2:11" ht="18.75" x14ac:dyDescent="0.3">
      <c r="B2" s="19" t="s">
        <v>295</v>
      </c>
    </row>
    <row r="3" spans="2:11" x14ac:dyDescent="0.25">
      <c r="B3" s="1" t="s">
        <v>22</v>
      </c>
      <c r="C3" s="1" t="s">
        <v>3</v>
      </c>
    </row>
    <row r="4" spans="2:11" x14ac:dyDescent="0.25">
      <c r="B4" s="1" t="s">
        <v>24</v>
      </c>
      <c r="C4" s="1" t="s">
        <v>322</v>
      </c>
    </row>
    <row r="5" spans="2:11" x14ac:dyDescent="0.25">
      <c r="B5" s="1" t="s">
        <v>29</v>
      </c>
      <c r="C5" s="1" t="s">
        <v>212</v>
      </c>
    </row>
    <row r="6" spans="2:11" x14ac:dyDescent="0.25">
      <c r="B6" s="1" t="s">
        <v>31</v>
      </c>
      <c r="C6" s="1" t="s">
        <v>21</v>
      </c>
    </row>
    <row r="7" spans="2:11" x14ac:dyDescent="0.25">
      <c r="C7">
        <v>43</v>
      </c>
      <c r="D7" t="s">
        <v>25</v>
      </c>
      <c r="I7" s="1" t="s">
        <v>39</v>
      </c>
    </row>
    <row r="8" spans="2:11" x14ac:dyDescent="0.25">
      <c r="C8" t="s">
        <v>23</v>
      </c>
      <c r="D8" t="s">
        <v>26</v>
      </c>
      <c r="I8" s="43" t="s">
        <v>172</v>
      </c>
    </row>
    <row r="9" spans="2:11" x14ac:dyDescent="0.25">
      <c r="C9" t="b">
        <v>1</v>
      </c>
      <c r="D9" t="s">
        <v>27</v>
      </c>
      <c r="I9" s="43" t="s">
        <v>173</v>
      </c>
    </row>
    <row r="10" spans="2:11" x14ac:dyDescent="0.25">
      <c r="H10" t="s">
        <v>174</v>
      </c>
      <c r="I10" s="42">
        <f>SUM(I8:I9)</f>
        <v>0</v>
      </c>
      <c r="K10" t="str" cm="1">
        <f t="array" aca="1" ref="K10" ca="1">ShowFormulas(I10)</f>
        <v>I10: =SUM(I8:I9)</v>
      </c>
    </row>
    <row r="12" spans="2:11" x14ac:dyDescent="0.25">
      <c r="B12" s="1" t="s">
        <v>32</v>
      </c>
      <c r="C12" s="108" t="s">
        <v>371</v>
      </c>
    </row>
    <row r="14" spans="2:11" x14ac:dyDescent="0.25">
      <c r="B14" s="1" t="s">
        <v>33</v>
      </c>
      <c r="C14" s="1" t="s">
        <v>28</v>
      </c>
    </row>
    <row r="15" spans="2:11" x14ac:dyDescent="0.25">
      <c r="C15" t="s">
        <v>43</v>
      </c>
      <c r="D15" s="17">
        <v>43.9</v>
      </c>
      <c r="E15">
        <v>43.9</v>
      </c>
      <c r="F15" s="18">
        <v>43.9</v>
      </c>
      <c r="H15" t="s">
        <v>30</v>
      </c>
    </row>
    <row r="16" spans="2:11" x14ac:dyDescent="0.25">
      <c r="C16" s="17"/>
      <c r="E16" s="18"/>
    </row>
    <row r="17" spans="2:11" x14ac:dyDescent="0.25">
      <c r="B17" s="1" t="s">
        <v>48</v>
      </c>
      <c r="C17" s="1" t="s">
        <v>35</v>
      </c>
    </row>
    <row r="18" spans="2:11" x14ac:dyDescent="0.25">
      <c r="B18" s="1"/>
      <c r="C18" t="s">
        <v>42</v>
      </c>
      <c r="D18" s="17">
        <v>29.9</v>
      </c>
      <c r="E18" s="17">
        <v>19.5</v>
      </c>
      <c r="F18" s="17">
        <v>9.6</v>
      </c>
      <c r="H18" t="s">
        <v>44</v>
      </c>
      <c r="I18" s="42">
        <f>SUM(D18:F18)</f>
        <v>59</v>
      </c>
      <c r="K18" t="str" cm="1">
        <f t="array" aca="1" ref="K18" ca="1">ShowFormulas(I18)</f>
        <v>I18: =SUM(D18:F18)</v>
      </c>
    </row>
    <row r="19" spans="2:11" x14ac:dyDescent="0.25">
      <c r="B19" s="1"/>
      <c r="D19" s="17"/>
      <c r="E19" s="17"/>
      <c r="F19" s="17"/>
    </row>
    <row r="20" spans="2:11" x14ac:dyDescent="0.25">
      <c r="B20" s="1" t="s">
        <v>49</v>
      </c>
      <c r="C20" s="1" t="s">
        <v>34</v>
      </c>
    </row>
    <row r="21" spans="2:11" x14ac:dyDescent="0.25">
      <c r="C21" s="20" t="s">
        <v>37</v>
      </c>
      <c r="H21" s="20" t="s">
        <v>41</v>
      </c>
    </row>
    <row r="22" spans="2:11" x14ac:dyDescent="0.25">
      <c r="B22" s="1"/>
      <c r="C22" t="s">
        <v>36</v>
      </c>
      <c r="D22">
        <v>7.6499999999999999E-2</v>
      </c>
      <c r="H22" t="s">
        <v>45</v>
      </c>
      <c r="I22">
        <v>24</v>
      </c>
    </row>
    <row r="23" spans="2:11" x14ac:dyDescent="0.25">
      <c r="C23" t="s">
        <v>38</v>
      </c>
      <c r="D23" t="s">
        <v>40</v>
      </c>
      <c r="H23" t="s">
        <v>46</v>
      </c>
      <c r="I23">
        <v>12</v>
      </c>
    </row>
    <row r="24" spans="2:11" x14ac:dyDescent="0.25">
      <c r="C24" t="s">
        <v>39</v>
      </c>
      <c r="D24">
        <v>500.35</v>
      </c>
      <c r="H24" t="s">
        <v>47</v>
      </c>
      <c r="I24">
        <v>1</v>
      </c>
    </row>
    <row r="26" spans="2:11" x14ac:dyDescent="0.25">
      <c r="B26" s="1" t="s">
        <v>170</v>
      </c>
      <c r="C26" s="1" t="s">
        <v>221</v>
      </c>
    </row>
    <row r="27" spans="2:11" x14ac:dyDescent="0.25">
      <c r="C27" s="21" t="s">
        <v>56</v>
      </c>
      <c r="D27" s="21"/>
    </row>
    <row r="28" spans="2:11" x14ac:dyDescent="0.25">
      <c r="C28" s="21" t="s">
        <v>53</v>
      </c>
      <c r="D28" s="21"/>
    </row>
    <row r="29" spans="2:11" x14ac:dyDescent="0.25">
      <c r="C29" s="21" t="s">
        <v>50</v>
      </c>
      <c r="D29" s="21"/>
    </row>
    <row r="30" spans="2:11" x14ac:dyDescent="0.25">
      <c r="C30" s="21" t="s">
        <v>51</v>
      </c>
      <c r="D30" s="21"/>
    </row>
    <row r="31" spans="2:11" x14ac:dyDescent="0.25">
      <c r="C31" s="21" t="s">
        <v>52</v>
      </c>
      <c r="D31" s="21"/>
    </row>
    <row r="32" spans="2:11" x14ac:dyDescent="0.25">
      <c r="C32" s="21" t="s">
        <v>55</v>
      </c>
      <c r="D32" s="21"/>
    </row>
    <row r="33" spans="2:4" x14ac:dyDescent="0.25">
      <c r="C33" s="21" t="s">
        <v>17</v>
      </c>
      <c r="D33" s="21"/>
    </row>
    <row r="34" spans="2:4" x14ac:dyDescent="0.25">
      <c r="C34" s="21" t="s">
        <v>57</v>
      </c>
      <c r="D34" s="21"/>
    </row>
    <row r="35" spans="2:4" x14ac:dyDescent="0.25">
      <c r="C35" s="21" t="s">
        <v>58</v>
      </c>
      <c r="D35" s="21"/>
    </row>
    <row r="36" spans="2:4" x14ac:dyDescent="0.25">
      <c r="C36" s="21" t="s">
        <v>59</v>
      </c>
      <c r="D36" s="21"/>
    </row>
    <row r="37" spans="2:4" x14ac:dyDescent="0.25">
      <c r="B37" s="1" t="s">
        <v>171</v>
      </c>
      <c r="C37" s="1" t="s">
        <v>372</v>
      </c>
      <c r="D37" s="1"/>
    </row>
    <row r="38" spans="2:4" x14ac:dyDescent="0.25">
      <c r="B38" s="1" t="s">
        <v>199</v>
      </c>
      <c r="C38" s="1" t="s">
        <v>210</v>
      </c>
    </row>
    <row r="39" spans="2:4" x14ac:dyDescent="0.25">
      <c r="B39" s="1" t="s">
        <v>200</v>
      </c>
      <c r="C39" s="1" t="s">
        <v>4</v>
      </c>
    </row>
    <row r="40" spans="2:4" x14ac:dyDescent="0.25">
      <c r="B40" s="1" t="s">
        <v>211</v>
      </c>
      <c r="C40" s="1" t="s">
        <v>373</v>
      </c>
    </row>
    <row r="41" spans="2:4" x14ac:dyDescent="0.25">
      <c r="B41" s="1" t="s">
        <v>213</v>
      </c>
      <c r="C41" s="1" t="s">
        <v>374</v>
      </c>
    </row>
    <row r="42" spans="2:4" x14ac:dyDescent="0.25">
      <c r="B42" s="1" t="s">
        <v>214</v>
      </c>
      <c r="C42" s="1" t="s">
        <v>375</v>
      </c>
    </row>
    <row r="43" spans="2:4" x14ac:dyDescent="0.25">
      <c r="B43" s="1" t="s">
        <v>215</v>
      </c>
      <c r="C43" s="1" t="s">
        <v>54</v>
      </c>
    </row>
    <row r="44" spans="2:4" x14ac:dyDescent="0.25">
      <c r="B44" s="1" t="s">
        <v>217</v>
      </c>
      <c r="C44" s="1" t="s">
        <v>324</v>
      </c>
    </row>
    <row r="45" spans="2:4" x14ac:dyDescent="0.25">
      <c r="B45" s="1" t="s">
        <v>218</v>
      </c>
      <c r="C45" s="108" t="s">
        <v>376</v>
      </c>
    </row>
    <row r="46" spans="2:4" x14ac:dyDescent="0.25">
      <c r="B46" s="1" t="s">
        <v>219</v>
      </c>
      <c r="C46" s="108" t="s">
        <v>377</v>
      </c>
    </row>
    <row r="47" spans="2:4" x14ac:dyDescent="0.25">
      <c r="B47" s="1" t="s">
        <v>222</v>
      </c>
      <c r="C47" s="1" t="s">
        <v>378</v>
      </c>
    </row>
    <row r="48" spans="2:4" x14ac:dyDescent="0.25">
      <c r="C48" t="s">
        <v>342</v>
      </c>
    </row>
    <row r="49" spans="2:18" x14ac:dyDescent="0.25">
      <c r="B49" s="1"/>
      <c r="C49" t="s">
        <v>282</v>
      </c>
    </row>
    <row r="50" spans="2:18" x14ac:dyDescent="0.25">
      <c r="B50" s="1"/>
      <c r="C50" t="s">
        <v>379</v>
      </c>
      <c r="Q50" s="2">
        <f>ROUND(43.687,2)</f>
        <v>43.69</v>
      </c>
      <c r="R50" t="str" cm="1">
        <f t="array" aca="1" ref="R50" ca="1">ShowFormulas(Q50)</f>
        <v>Q50: =ROUND(43.687,2)</v>
      </c>
    </row>
    <row r="51" spans="2:18" x14ac:dyDescent="0.25">
      <c r="B51" s="1"/>
      <c r="Q51" s="2">
        <f>ROUND(43.687,0)</f>
        <v>44</v>
      </c>
      <c r="R51" t="str" cm="1">
        <f t="array" aca="1" ref="R51" ca="1">ShowFormulas(Q51)</f>
        <v>Q51: =ROUND(43.687,0)</v>
      </c>
    </row>
    <row r="52" spans="2:18" x14ac:dyDescent="0.25">
      <c r="B52" s="1" t="s">
        <v>223</v>
      </c>
      <c r="C52" s="1" t="s">
        <v>198</v>
      </c>
    </row>
    <row r="53" spans="2:18" x14ac:dyDescent="0.25">
      <c r="C53" t="s">
        <v>224</v>
      </c>
    </row>
    <row r="54" spans="2:18" x14ac:dyDescent="0.25">
      <c r="C54" s="1" t="s">
        <v>343</v>
      </c>
    </row>
    <row r="55" spans="2:18" x14ac:dyDescent="0.25">
      <c r="C55" t="s">
        <v>225</v>
      </c>
    </row>
    <row r="57" spans="2:18" x14ac:dyDescent="0.25">
      <c r="B57" s="1" t="s">
        <v>227</v>
      </c>
      <c r="C57" s="1" t="s">
        <v>338</v>
      </c>
    </row>
    <row r="58" spans="2:18" x14ac:dyDescent="0.25">
      <c r="B58" s="1" t="s">
        <v>325</v>
      </c>
      <c r="C58" s="1" t="s">
        <v>226</v>
      </c>
      <c r="K58" s="43"/>
    </row>
    <row r="59" spans="2:18" x14ac:dyDescent="0.25">
      <c r="B59" s="1" t="s">
        <v>380</v>
      </c>
      <c r="C59" s="1" t="s">
        <v>216</v>
      </c>
    </row>
    <row r="60" spans="2:18" x14ac:dyDescent="0.25">
      <c r="B60" s="1" t="s">
        <v>381</v>
      </c>
      <c r="C60" s="1" t="s">
        <v>339</v>
      </c>
    </row>
    <row r="61" spans="2:18" x14ac:dyDescent="0.25">
      <c r="B61" s="1" t="s">
        <v>382</v>
      </c>
      <c r="C61" s="1" t="s">
        <v>220</v>
      </c>
    </row>
    <row r="62" spans="2:18" x14ac:dyDescent="0.25">
      <c r="B62" s="1" t="s">
        <v>383</v>
      </c>
      <c r="C62" s="1" t="s">
        <v>228</v>
      </c>
    </row>
    <row r="63" spans="2:18" x14ac:dyDescent="0.25">
      <c r="D63" t="s">
        <v>229</v>
      </c>
    </row>
    <row r="64" spans="2:18" x14ac:dyDescent="0.25">
      <c r="E64" t="s">
        <v>230</v>
      </c>
      <c r="J64" s="1" t="s">
        <v>248</v>
      </c>
      <c r="K64" s="2">
        <f t="shared" ref="K64:N64" si="0">COUNT(K69:K73)</f>
        <v>0</v>
      </c>
      <c r="L64" s="2">
        <f t="shared" si="0"/>
        <v>2</v>
      </c>
      <c r="M64" s="2">
        <f t="shared" si="0"/>
        <v>1</v>
      </c>
      <c r="N64" s="2">
        <f t="shared" si="0"/>
        <v>1</v>
      </c>
    </row>
    <row r="65" spans="5:16" x14ac:dyDescent="0.25">
      <c r="E65" t="s">
        <v>231</v>
      </c>
      <c r="J65" s="1" t="s">
        <v>246</v>
      </c>
      <c r="K65" s="2">
        <f>COUNTA(K69:K73)</f>
        <v>4</v>
      </c>
      <c r="L65" s="2">
        <f t="shared" ref="L65:N65" si="1">COUNTA(L69:L73)</f>
        <v>4</v>
      </c>
      <c r="M65" s="2">
        <f t="shared" si="1"/>
        <v>4</v>
      </c>
      <c r="N65" s="2">
        <f t="shared" si="1"/>
        <v>5</v>
      </c>
    </row>
    <row r="66" spans="5:16" x14ac:dyDescent="0.25">
      <c r="E66" t="s">
        <v>232</v>
      </c>
      <c r="F66" t="s">
        <v>249</v>
      </c>
      <c r="J66" s="1" t="s">
        <v>245</v>
      </c>
      <c r="K66" s="2">
        <f>COUNTIFS(K69:K73,"*")</f>
        <v>4</v>
      </c>
      <c r="L66" s="2">
        <f t="shared" ref="L66:N66" si="2">COUNTIFS(L69:L73,"*")</f>
        <v>1</v>
      </c>
      <c r="M66" s="2">
        <f t="shared" si="2"/>
        <v>2</v>
      </c>
      <c r="N66" s="2">
        <f t="shared" si="2"/>
        <v>3</v>
      </c>
    </row>
    <row r="67" spans="5:16" x14ac:dyDescent="0.25">
      <c r="E67" t="s">
        <v>340</v>
      </c>
    </row>
    <row r="68" spans="5:16" x14ac:dyDescent="0.25">
      <c r="E68" t="s">
        <v>341</v>
      </c>
      <c r="K68" s="1" t="s">
        <v>241</v>
      </c>
      <c r="L68" s="1" t="s">
        <v>242</v>
      </c>
      <c r="M68" s="1" t="s">
        <v>243</v>
      </c>
      <c r="N68" s="1" t="s">
        <v>244</v>
      </c>
      <c r="P68" s="3" t="s">
        <v>240</v>
      </c>
    </row>
    <row r="69" spans="5:16" x14ac:dyDescent="0.25">
      <c r="E69" t="s">
        <v>252</v>
      </c>
      <c r="K69" s="12" t="s">
        <v>235</v>
      </c>
      <c r="L69" s="12">
        <v>2</v>
      </c>
      <c r="M69" s="12" t="s">
        <v>233</v>
      </c>
      <c r="N69" s="12">
        <v>6</v>
      </c>
      <c r="P69" s="54" t="s">
        <v>239</v>
      </c>
    </row>
    <row r="70" spans="5:16" x14ac:dyDescent="0.25">
      <c r="E70" t="s">
        <v>250</v>
      </c>
      <c r="K70" s="12" t="s">
        <v>23</v>
      </c>
      <c r="L70" s="54" t="str">
        <f>""</f>
        <v/>
      </c>
      <c r="M70" s="12" t="s">
        <v>234</v>
      </c>
      <c r="N70" s="12" t="s">
        <v>238</v>
      </c>
      <c r="P70" s="12" t="s">
        <v>247</v>
      </c>
    </row>
    <row r="71" spans="5:16" x14ac:dyDescent="0.25">
      <c r="E71" t="s">
        <v>279</v>
      </c>
      <c r="K71" s="12"/>
      <c r="L71" s="12">
        <v>4</v>
      </c>
      <c r="M71" s="12"/>
      <c r="N71" s="12" t="s">
        <v>201</v>
      </c>
    </row>
    <row r="72" spans="5:16" x14ac:dyDescent="0.25">
      <c r="E72" t="s">
        <v>280</v>
      </c>
      <c r="K72" s="12" t="s">
        <v>236</v>
      </c>
      <c r="L72" s="12" t="b">
        <v>1</v>
      </c>
      <c r="M72" s="12">
        <v>4</v>
      </c>
      <c r="N72" s="54" t="str">
        <f>""</f>
        <v/>
      </c>
    </row>
    <row r="73" spans="5:16" x14ac:dyDescent="0.25">
      <c r="E73" t="s">
        <v>251</v>
      </c>
      <c r="K73" s="12" t="s">
        <v>237</v>
      </c>
      <c r="L73" s="12"/>
      <c r="M73" s="12" t="b">
        <v>0</v>
      </c>
      <c r="N73" s="12" t="b">
        <v>1</v>
      </c>
    </row>
    <row r="74" spans="5:16" x14ac:dyDescent="0.25">
      <c r="E74" t="s">
        <v>253</v>
      </c>
    </row>
    <row r="75" spans="5:16" x14ac:dyDescent="0.25">
      <c r="E75" t="s">
        <v>254</v>
      </c>
    </row>
    <row r="76" spans="5:16" x14ac:dyDescent="0.25">
      <c r="E76" t="s">
        <v>255</v>
      </c>
    </row>
    <row r="77" spans="5:16" x14ac:dyDescent="0.25">
      <c r="E77" t="s">
        <v>281</v>
      </c>
    </row>
  </sheetData>
  <phoneticPr fontId="9" type="noConversion"/>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83C3B-7FF9-4B0A-93F0-45054D903A60}">
  <dimension ref="B2:N16"/>
  <sheetViews>
    <sheetView zoomScale="115" zoomScaleNormal="115" workbookViewId="0"/>
  </sheetViews>
  <sheetFormatPr defaultRowHeight="15" x14ac:dyDescent="0.25"/>
  <cols>
    <col min="1" max="1" width="3" customWidth="1"/>
    <col min="3" max="3" width="11.42578125" customWidth="1"/>
    <col min="6" max="6" width="32.7109375" customWidth="1"/>
    <col min="7" max="7" width="19.28515625" customWidth="1"/>
    <col min="8" max="8" width="17.140625" customWidth="1"/>
    <col min="14" max="14" width="18.7109375" bestFit="1" customWidth="1"/>
  </cols>
  <sheetData>
    <row r="2" spans="2:14" x14ac:dyDescent="0.25">
      <c r="B2" t="s">
        <v>229</v>
      </c>
    </row>
    <row r="3" spans="2:14" x14ac:dyDescent="0.25">
      <c r="C3" t="s">
        <v>230</v>
      </c>
      <c r="H3" s="1" t="s">
        <v>248</v>
      </c>
      <c r="I3" s="2">
        <f t="shared" ref="I3:L3" si="0">COUNT(I8:I12)</f>
        <v>0</v>
      </c>
      <c r="J3" s="2">
        <f t="shared" si="0"/>
        <v>2</v>
      </c>
      <c r="K3" s="2">
        <f t="shared" si="0"/>
        <v>1</v>
      </c>
      <c r="L3" s="2">
        <f t="shared" si="0"/>
        <v>1</v>
      </c>
    </row>
    <row r="4" spans="2:14" x14ac:dyDescent="0.25">
      <c r="C4" t="s">
        <v>231</v>
      </c>
      <c r="H4" s="1" t="s">
        <v>246</v>
      </c>
      <c r="I4" s="2">
        <f>COUNTA(I8:I12)</f>
        <v>4</v>
      </c>
      <c r="J4" s="2">
        <f t="shared" ref="J4:L4" si="1">COUNTA(J8:J12)</f>
        <v>4</v>
      </c>
      <c r="K4" s="2">
        <f t="shared" si="1"/>
        <v>4</v>
      </c>
      <c r="L4" s="2">
        <f t="shared" si="1"/>
        <v>5</v>
      </c>
    </row>
    <row r="5" spans="2:14" x14ac:dyDescent="0.25">
      <c r="C5" t="s">
        <v>232</v>
      </c>
      <c r="D5" t="s">
        <v>249</v>
      </c>
      <c r="H5" s="1" t="s">
        <v>245</v>
      </c>
      <c r="I5" s="2">
        <f>COUNTIFS(I8:I12,"*")</f>
        <v>4</v>
      </c>
      <c r="J5" s="2">
        <f t="shared" ref="J5:L5" si="2">COUNTIFS(J8:J12,"*")</f>
        <v>1</v>
      </c>
      <c r="K5" s="2">
        <f t="shared" si="2"/>
        <v>2</v>
      </c>
      <c r="L5" s="2">
        <f t="shared" si="2"/>
        <v>3</v>
      </c>
    </row>
    <row r="6" spans="2:14" x14ac:dyDescent="0.25">
      <c r="C6" t="s">
        <v>340</v>
      </c>
    </row>
    <row r="7" spans="2:14" x14ac:dyDescent="0.25">
      <c r="C7" t="s">
        <v>341</v>
      </c>
      <c r="I7" s="1" t="s">
        <v>241</v>
      </c>
      <c r="J7" s="1" t="s">
        <v>242</v>
      </c>
      <c r="K7" s="1" t="s">
        <v>243</v>
      </c>
      <c r="L7" s="1" t="s">
        <v>244</v>
      </c>
      <c r="N7" s="3" t="s">
        <v>240</v>
      </c>
    </row>
    <row r="8" spans="2:14" x14ac:dyDescent="0.25">
      <c r="C8" t="s">
        <v>252</v>
      </c>
      <c r="I8" s="12" t="s">
        <v>235</v>
      </c>
      <c r="J8" s="12">
        <v>2</v>
      </c>
      <c r="K8" s="12" t="s">
        <v>233</v>
      </c>
      <c r="L8" s="12">
        <v>6</v>
      </c>
      <c r="N8" s="54" t="s">
        <v>239</v>
      </c>
    </row>
    <row r="9" spans="2:14" x14ac:dyDescent="0.25">
      <c r="C9" t="s">
        <v>250</v>
      </c>
      <c r="I9" s="12" t="s">
        <v>23</v>
      </c>
      <c r="J9" s="54" t="str">
        <f>""</f>
        <v/>
      </c>
      <c r="K9" s="12" t="s">
        <v>234</v>
      </c>
      <c r="L9" s="12" t="s">
        <v>238</v>
      </c>
      <c r="N9" s="12" t="s">
        <v>247</v>
      </c>
    </row>
    <row r="10" spans="2:14" x14ac:dyDescent="0.25">
      <c r="C10" t="s">
        <v>279</v>
      </c>
      <c r="I10" s="12"/>
      <c r="J10" s="12">
        <v>4</v>
      </c>
      <c r="K10" s="12"/>
      <c r="L10" s="12" t="s">
        <v>201</v>
      </c>
    </row>
    <row r="11" spans="2:14" x14ac:dyDescent="0.25">
      <c r="C11" t="s">
        <v>280</v>
      </c>
      <c r="I11" s="12" t="s">
        <v>236</v>
      </c>
      <c r="J11" s="12" t="b">
        <v>1</v>
      </c>
      <c r="K11" s="12">
        <v>4</v>
      </c>
      <c r="L11" s="54" t="str">
        <f>""</f>
        <v/>
      </c>
    </row>
    <row r="12" spans="2:14" x14ac:dyDescent="0.25">
      <c r="C12" t="s">
        <v>251</v>
      </c>
      <c r="I12" s="12" t="s">
        <v>237</v>
      </c>
      <c r="J12" s="12"/>
      <c r="K12" s="12" t="b">
        <v>0</v>
      </c>
      <c r="L12" s="12" t="b">
        <v>1</v>
      </c>
    </row>
    <row r="13" spans="2:14" x14ac:dyDescent="0.25">
      <c r="C13" t="s">
        <v>253</v>
      </c>
    </row>
    <row r="14" spans="2:14" x14ac:dyDescent="0.25">
      <c r="C14" t="s">
        <v>254</v>
      </c>
    </row>
    <row r="15" spans="2:14" x14ac:dyDescent="0.25">
      <c r="C15" t="s">
        <v>255</v>
      </c>
    </row>
    <row r="16" spans="2:14" x14ac:dyDescent="0.25">
      <c r="C16" t="s">
        <v>281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F0ALAAiAHAAcgBvAGoAZQBjAHQATgBhAG0AZQBzACIAOgBb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0ARA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Props1.xml><?xml version="1.0" encoding="utf-8"?>
<ds:datastoreItem xmlns:ds="http://schemas.openxmlformats.org/officeDocument/2006/customXml" ds:itemID="{E6394345-1357-46EF-A228-4DBB5B2EE886}">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36</vt:i4>
      </vt:variant>
      <vt:variant>
        <vt:lpstr>Named Ranges</vt:lpstr>
      </vt:variant>
      <vt:variant>
        <vt:i4>13</vt:i4>
      </vt:variant>
    </vt:vector>
  </HeadingPairs>
  <TitlesOfParts>
    <vt:vector size="49" baseType="lpstr">
      <vt:lpstr>Topics</vt:lpstr>
      <vt:lpstr>First</vt:lpstr>
      <vt:lpstr>DefaultA</vt:lpstr>
      <vt:lpstr>NumberF</vt:lpstr>
      <vt:lpstr>EGR</vt:lpstr>
      <vt:lpstr>FormulaElements</vt:lpstr>
      <vt:lpstr>CellReferences</vt:lpstr>
      <vt:lpstr>CR(1)</vt:lpstr>
      <vt:lpstr>CR(2)</vt:lpstr>
      <vt:lpstr>Operators</vt:lpstr>
      <vt:lpstr>OrderOfOperations</vt:lpstr>
      <vt:lpstr>FormulaTypes</vt:lpstr>
      <vt:lpstr>F-DataType</vt:lpstr>
      <vt:lpstr>TextNumbers</vt:lpstr>
      <vt:lpstr>F-CalculationType</vt:lpstr>
      <vt:lpstr>CR(3)</vt:lpstr>
      <vt:lpstr>ROUND</vt:lpstr>
      <vt:lpstr>DateTime</vt:lpstr>
      <vt:lpstr>ModesOfCellEdtting</vt:lpstr>
      <vt:lpstr>Logical Tests</vt:lpstr>
      <vt:lpstr>Lookup</vt:lpstr>
      <vt:lpstr>ERRORS</vt:lpstr>
      <vt:lpstr>HW==&gt;</vt:lpstr>
      <vt:lpstr>HW(1)</vt:lpstr>
      <vt:lpstr>HW(2)</vt:lpstr>
      <vt:lpstr>HW(3)</vt:lpstr>
      <vt:lpstr>HW(4)</vt:lpstr>
      <vt:lpstr>HW(5)</vt:lpstr>
      <vt:lpstr>HW(6)</vt:lpstr>
      <vt:lpstr>HW(7)</vt:lpstr>
      <vt:lpstr>HW(8)</vt:lpstr>
      <vt:lpstr>HW(9)</vt:lpstr>
      <vt:lpstr>HW(10)</vt:lpstr>
      <vt:lpstr>P(11)</vt:lpstr>
      <vt:lpstr>FoundationOfFormulas</vt:lpstr>
      <vt:lpstr>Concepts</vt:lpstr>
      <vt:lpstr>FoundationOfFormulas!_Toc185970335</vt:lpstr>
      <vt:lpstr>FoundationOfFormulas!_Toc185970336</vt:lpstr>
      <vt:lpstr>FoundationOfFormulas!_Toc186123128</vt:lpstr>
      <vt:lpstr>First!_Toc186220487</vt:lpstr>
      <vt:lpstr>COGS</vt:lpstr>
      <vt:lpstr>Customer</vt:lpstr>
      <vt:lpstr>Date</vt:lpstr>
      <vt:lpstr>CellReferences!Print_Area</vt:lpstr>
      <vt:lpstr>FormulaElements!Print_Area</vt:lpstr>
      <vt:lpstr>Product</vt:lpstr>
      <vt:lpstr>Region</vt:lpstr>
      <vt:lpstr>Sales</vt:lpstr>
      <vt:lpstr>SalesRep</vt:lpstr>
    </vt:vector>
  </TitlesOfParts>
  <Company>Highline College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Girvin, Michael</dc:creator>
  <cp:lastModifiedBy>Randy Hernandez</cp:lastModifiedBy>
  <dcterms:created xsi:type="dcterms:W3CDTF">2024-12-22T21:29:33Z</dcterms:created>
  <dcterms:modified xsi:type="dcterms:W3CDTF">2026-08-17T22:57:05Z</dcterms:modified>
</cp:coreProperties>
</file>